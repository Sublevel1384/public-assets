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100" documentId="8_{964C585B-190F-46EC-9553-F8D486DF59FA}" xr6:coauthVersionLast="47" xr6:coauthVersionMax="47" xr10:uidLastSave="{3AAD7981-C741-4513-9D04-DA91E1543C24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53" i="1" l="1"/>
  <c r="N154" i="1"/>
  <c r="N155" i="1"/>
  <c r="N156" i="1"/>
  <c r="F156" i="1"/>
  <c r="J156" i="1" s="1"/>
  <c r="C156" i="1"/>
  <c r="F155" i="1"/>
  <c r="J155" i="1" s="1"/>
  <c r="C155" i="1"/>
  <c r="F154" i="1"/>
  <c r="G154" i="1" s="1"/>
  <c r="C154" i="1"/>
  <c r="F153" i="1"/>
  <c r="J153" i="1" s="1"/>
  <c r="C153" i="1"/>
  <c r="F7" i="1"/>
  <c r="C7" i="1"/>
  <c r="F6" i="1"/>
  <c r="C6" i="1"/>
  <c r="F5" i="1"/>
  <c r="C5" i="1"/>
  <c r="G155" i="1" l="1"/>
  <c r="K155" i="1" s="1"/>
  <c r="O155" i="1" s="1"/>
  <c r="G153" i="1"/>
  <c r="K153" i="1" s="1"/>
  <c r="O153" i="1" s="1"/>
  <c r="J154" i="1"/>
  <c r="K154" i="1" s="1"/>
  <c r="O154" i="1" s="1"/>
  <c r="G6" i="1"/>
  <c r="K6" i="1" s="1"/>
  <c r="G156" i="1"/>
  <c r="K156" i="1" s="1"/>
  <c r="O156" i="1" s="1"/>
  <c r="G7" i="1"/>
  <c r="K7" i="1" s="1"/>
  <c r="G5" i="1"/>
  <c r="K5" i="1" s="1"/>
  <c r="C28" i="2" a="1"/>
  <c r="C28" i="2" s="1"/>
  <c r="F152" i="1"/>
  <c r="J152" i="1" s="1"/>
  <c r="F139" i="1"/>
  <c r="J139" i="1" s="1"/>
  <c r="F140" i="1"/>
  <c r="G140" i="1" s="1"/>
  <c r="K140" i="1" s="1"/>
  <c r="N140" i="1" s="1"/>
  <c r="O140" i="1" s="1"/>
  <c r="F141" i="1"/>
  <c r="G141" i="1" s="1"/>
  <c r="K141" i="1" s="1"/>
  <c r="N141" i="1" s="1"/>
  <c r="O141" i="1" s="1"/>
  <c r="F142" i="1"/>
  <c r="G142" i="1" s="1"/>
  <c r="K142" i="1" s="1"/>
  <c r="N142" i="1" s="1"/>
  <c r="O142" i="1" s="1"/>
  <c r="F143" i="1"/>
  <c r="G143" i="1" s="1"/>
  <c r="K143" i="1" s="1"/>
  <c r="F144" i="1"/>
  <c r="G144" i="1" s="1"/>
  <c r="K144" i="1" s="1"/>
  <c r="F145" i="1"/>
  <c r="G145" i="1" s="1"/>
  <c r="K145" i="1" s="1"/>
  <c r="F146" i="1"/>
  <c r="G146" i="1" s="1"/>
  <c r="K146" i="1" s="1"/>
  <c r="N146" i="1" s="1"/>
  <c r="F147" i="1"/>
  <c r="J147" i="1" s="1"/>
  <c r="F148" i="1"/>
  <c r="G148" i="1" s="1"/>
  <c r="F149" i="1"/>
  <c r="J149" i="1" s="1"/>
  <c r="F150" i="1"/>
  <c r="F151" i="1"/>
  <c r="J151" i="1" s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12" i="1"/>
  <c r="C113" i="1"/>
  <c r="C114" i="1"/>
  <c r="C115" i="1"/>
  <c r="C116" i="1"/>
  <c r="C117" i="1"/>
  <c r="C118" i="1"/>
  <c r="C119" i="1"/>
  <c r="C120" i="1"/>
  <c r="C121" i="1"/>
  <c r="C122" i="1"/>
  <c r="C100" i="1"/>
  <c r="C101" i="1"/>
  <c r="C102" i="1"/>
  <c r="C103" i="1"/>
  <c r="C104" i="1"/>
  <c r="C105" i="1"/>
  <c r="C2" i="1"/>
  <c r="C3" i="1"/>
  <c r="C106" i="1"/>
  <c r="C4" i="1"/>
  <c r="C107" i="1"/>
  <c r="C108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09" i="1"/>
  <c r="C110" i="1"/>
  <c r="C111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F138" i="1"/>
  <c r="F134" i="1"/>
  <c r="J134" i="1" s="1"/>
  <c r="F130" i="1"/>
  <c r="G130" i="1" s="1"/>
  <c r="F126" i="1"/>
  <c r="J126" i="1" s="1"/>
  <c r="F111" i="1"/>
  <c r="F119" i="1"/>
  <c r="F115" i="1"/>
  <c r="F99" i="1"/>
  <c r="F95" i="1"/>
  <c r="J95" i="1" s="1"/>
  <c r="F91" i="1"/>
  <c r="J91" i="1" s="1"/>
  <c r="F87" i="1"/>
  <c r="F83" i="1"/>
  <c r="J83" i="1" s="1"/>
  <c r="F38" i="1"/>
  <c r="F137" i="1"/>
  <c r="F133" i="1"/>
  <c r="F129" i="1"/>
  <c r="F125" i="1"/>
  <c r="F110" i="1"/>
  <c r="J110" i="1" s="1"/>
  <c r="F118" i="1"/>
  <c r="G118" i="1" s="1"/>
  <c r="F114" i="1"/>
  <c r="F98" i="1"/>
  <c r="F94" i="1"/>
  <c r="F90" i="1"/>
  <c r="G90" i="1" s="1"/>
  <c r="F86" i="1"/>
  <c r="F82" i="1"/>
  <c r="F37" i="1"/>
  <c r="F136" i="1"/>
  <c r="F132" i="1"/>
  <c r="G132" i="1" s="1"/>
  <c r="F128" i="1"/>
  <c r="F124" i="1"/>
  <c r="J124" i="1" s="1"/>
  <c r="F109" i="1"/>
  <c r="F117" i="1"/>
  <c r="F113" i="1"/>
  <c r="F97" i="1"/>
  <c r="F93" i="1"/>
  <c r="F89" i="1"/>
  <c r="F85" i="1"/>
  <c r="F81" i="1"/>
  <c r="F36" i="1"/>
  <c r="F34" i="1"/>
  <c r="F80" i="1"/>
  <c r="F33" i="1"/>
  <c r="F79" i="1"/>
  <c r="F32" i="1"/>
  <c r="F78" i="1"/>
  <c r="F31" i="1"/>
  <c r="F77" i="1"/>
  <c r="F30" i="1"/>
  <c r="F76" i="1"/>
  <c r="F29" i="1"/>
  <c r="G29" i="1" s="1"/>
  <c r="K29" i="1" s="1"/>
  <c r="F75" i="1"/>
  <c r="F28" i="1"/>
  <c r="F74" i="1"/>
  <c r="G74" i="1" s="1"/>
  <c r="F73" i="1"/>
  <c r="F27" i="1"/>
  <c r="F72" i="1"/>
  <c r="G72" i="1" s="1"/>
  <c r="F26" i="1"/>
  <c r="F25" i="1"/>
  <c r="F71" i="1"/>
  <c r="F24" i="1"/>
  <c r="F70" i="1"/>
  <c r="F23" i="1"/>
  <c r="G23" i="1" s="1"/>
  <c r="K23" i="1" s="1"/>
  <c r="F69" i="1"/>
  <c r="F22" i="1"/>
  <c r="F68" i="1"/>
  <c r="F21" i="1"/>
  <c r="F67" i="1"/>
  <c r="F20" i="1"/>
  <c r="F66" i="1"/>
  <c r="F19" i="1"/>
  <c r="F65" i="1"/>
  <c r="F64" i="1"/>
  <c r="F18" i="1"/>
  <c r="F63" i="1"/>
  <c r="F17" i="1"/>
  <c r="F62" i="1"/>
  <c r="F16" i="1"/>
  <c r="F61" i="1"/>
  <c r="F15" i="1"/>
  <c r="G15" i="1" s="1"/>
  <c r="K15" i="1" s="1"/>
  <c r="F60" i="1"/>
  <c r="F14" i="1"/>
  <c r="F13" i="1"/>
  <c r="G13" i="1" s="1"/>
  <c r="K13" i="1" s="1"/>
  <c r="F59" i="1"/>
  <c r="F12" i="1"/>
  <c r="F58" i="1"/>
  <c r="G58" i="1" s="1"/>
  <c r="F11" i="1"/>
  <c r="F57" i="1"/>
  <c r="F10" i="1"/>
  <c r="F56" i="1"/>
  <c r="F55" i="1"/>
  <c r="F9" i="1"/>
  <c r="F54" i="1"/>
  <c r="F8" i="1"/>
  <c r="F122" i="1"/>
  <c r="J122" i="1" s="1"/>
  <c r="F41" i="1"/>
  <c r="F53" i="1"/>
  <c r="F108" i="1"/>
  <c r="F52" i="1"/>
  <c r="F121" i="1"/>
  <c r="J121" i="1" s="1"/>
  <c r="F40" i="1"/>
  <c r="F107" i="1"/>
  <c r="F51" i="1"/>
  <c r="F4" i="1"/>
  <c r="F120" i="1"/>
  <c r="J120" i="1" s="1"/>
  <c r="F50" i="1"/>
  <c r="F39" i="1"/>
  <c r="F106" i="1"/>
  <c r="F116" i="1"/>
  <c r="F135" i="1"/>
  <c r="F131" i="1"/>
  <c r="F127" i="1"/>
  <c r="F123" i="1"/>
  <c r="F84" i="1"/>
  <c r="F49" i="1"/>
  <c r="F35" i="1"/>
  <c r="F112" i="1"/>
  <c r="F96" i="1"/>
  <c r="G96" i="1" s="1"/>
  <c r="F92" i="1"/>
  <c r="F88" i="1"/>
  <c r="F3" i="1"/>
  <c r="F48" i="1"/>
  <c r="F2" i="1"/>
  <c r="F105" i="1"/>
  <c r="F47" i="1"/>
  <c r="F104" i="1"/>
  <c r="F46" i="1"/>
  <c r="F103" i="1"/>
  <c r="F45" i="1"/>
  <c r="F102" i="1"/>
  <c r="F44" i="1"/>
  <c r="F101" i="1"/>
  <c r="F43" i="1"/>
  <c r="F100" i="1"/>
  <c r="F42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49" i="1" l="1"/>
  <c r="K149" i="1" s="1"/>
  <c r="N149" i="1" s="1"/>
  <c r="G151" i="1"/>
  <c r="K151" i="1" s="1"/>
  <c r="D14" i="2" a="1"/>
  <c r="D14" i="2" s="1"/>
  <c r="D15" i="2" s="1"/>
  <c r="G147" i="1"/>
  <c r="K147" i="1" s="1"/>
  <c r="N147" i="1" s="1"/>
  <c r="O147" i="1" s="1"/>
  <c r="B14" i="2" a="1"/>
  <c r="B14" i="2" s="1"/>
  <c r="B15" i="2" s="1"/>
  <c r="G150" i="1"/>
  <c r="J150" i="1"/>
  <c r="G139" i="1"/>
  <c r="K139" i="1" s="1"/>
  <c r="N139" i="1" s="1"/>
  <c r="O139" i="1" s="1"/>
  <c r="G152" i="1"/>
  <c r="K152" i="1" s="1"/>
  <c r="J148" i="1"/>
  <c r="K148" i="1" s="1"/>
  <c r="N145" i="1"/>
  <c r="O145" i="1" s="1"/>
  <c r="N144" i="1"/>
  <c r="O144" i="1" s="1"/>
  <c r="N143" i="1"/>
  <c r="O143" i="1" s="1"/>
  <c r="O146" i="1"/>
  <c r="C24" i="2" a="1"/>
  <c r="C24" i="2" s="1"/>
  <c r="G111" i="1"/>
  <c r="G21" i="1"/>
  <c r="K21" i="1" s="1"/>
  <c r="G66" i="1"/>
  <c r="G101" i="1"/>
  <c r="G116" i="1"/>
  <c r="G124" i="1"/>
  <c r="K124" i="1" s="1"/>
  <c r="G98" i="1"/>
  <c r="G31" i="1"/>
  <c r="K31" i="1" s="1"/>
  <c r="G64" i="1"/>
  <c r="G42" i="1"/>
  <c r="G134" i="1"/>
  <c r="K134" i="1" s="1"/>
  <c r="G40" i="1"/>
  <c r="G126" i="1"/>
  <c r="K126" i="1" s="1"/>
  <c r="G108" i="1"/>
  <c r="G103" i="1"/>
  <c r="G82" i="1"/>
  <c r="G50" i="1"/>
  <c r="G131" i="1"/>
  <c r="G123" i="1"/>
  <c r="G30" i="1"/>
  <c r="K30" i="1" s="1"/>
  <c r="G22" i="1"/>
  <c r="K22" i="1" s="1"/>
  <c r="G14" i="1"/>
  <c r="K14" i="1" s="1"/>
  <c r="G107" i="1"/>
  <c r="G102" i="1"/>
  <c r="G117" i="1"/>
  <c r="G97" i="1"/>
  <c r="G89" i="1"/>
  <c r="G81" i="1"/>
  <c r="G73" i="1"/>
  <c r="G65" i="1"/>
  <c r="G57" i="1"/>
  <c r="G49" i="1"/>
  <c r="G41" i="1"/>
  <c r="G138" i="1"/>
  <c r="G88" i="1"/>
  <c r="G80" i="1"/>
  <c r="G56" i="1"/>
  <c r="G48" i="1"/>
  <c r="G137" i="1"/>
  <c r="G129" i="1"/>
  <c r="G110" i="1"/>
  <c r="K110" i="1" s="1"/>
  <c r="G28" i="1"/>
  <c r="K28" i="1" s="1"/>
  <c r="G20" i="1"/>
  <c r="K20" i="1" s="1"/>
  <c r="G12" i="1"/>
  <c r="K12" i="1" s="1"/>
  <c r="G106" i="1"/>
  <c r="G100" i="1"/>
  <c r="G115" i="1"/>
  <c r="G95" i="1"/>
  <c r="K95" i="1" s="1"/>
  <c r="G87" i="1"/>
  <c r="G79" i="1"/>
  <c r="G71" i="1"/>
  <c r="G63" i="1"/>
  <c r="G55" i="1"/>
  <c r="G47" i="1"/>
  <c r="G39" i="1"/>
  <c r="G136" i="1"/>
  <c r="G128" i="1"/>
  <c r="G109" i="1"/>
  <c r="G27" i="1"/>
  <c r="K27" i="1" s="1"/>
  <c r="G19" i="1"/>
  <c r="K19" i="1" s="1"/>
  <c r="G11" i="1"/>
  <c r="K11" i="1" s="1"/>
  <c r="G3" i="1"/>
  <c r="K3" i="1" s="1"/>
  <c r="G122" i="1"/>
  <c r="G114" i="1"/>
  <c r="G94" i="1"/>
  <c r="G86" i="1"/>
  <c r="G78" i="1"/>
  <c r="G70" i="1"/>
  <c r="G62" i="1"/>
  <c r="G54" i="1"/>
  <c r="G46" i="1"/>
  <c r="G38" i="1"/>
  <c r="G135" i="1"/>
  <c r="G127" i="1"/>
  <c r="G34" i="1"/>
  <c r="K34" i="1" s="1"/>
  <c r="G26" i="1"/>
  <c r="K26" i="1" s="1"/>
  <c r="G18" i="1"/>
  <c r="K18" i="1" s="1"/>
  <c r="G10" i="1"/>
  <c r="K10" i="1" s="1"/>
  <c r="G2" i="1"/>
  <c r="K2" i="1" s="1"/>
  <c r="G121" i="1"/>
  <c r="G113" i="1"/>
  <c r="G93" i="1"/>
  <c r="G85" i="1"/>
  <c r="G77" i="1"/>
  <c r="G69" i="1"/>
  <c r="G61" i="1"/>
  <c r="G53" i="1"/>
  <c r="G45" i="1"/>
  <c r="G37" i="1"/>
  <c r="G33" i="1"/>
  <c r="K33" i="1" s="1"/>
  <c r="G25" i="1"/>
  <c r="K25" i="1" s="1"/>
  <c r="G17" i="1"/>
  <c r="K17" i="1" s="1"/>
  <c r="G9" i="1"/>
  <c r="K9" i="1" s="1"/>
  <c r="G105" i="1"/>
  <c r="G120" i="1"/>
  <c r="G112" i="1"/>
  <c r="G92" i="1"/>
  <c r="G84" i="1"/>
  <c r="G76" i="1"/>
  <c r="G68" i="1"/>
  <c r="G60" i="1"/>
  <c r="G52" i="1"/>
  <c r="G44" i="1"/>
  <c r="G36" i="1"/>
  <c r="G4" i="1"/>
  <c r="K4" i="1" s="1"/>
  <c r="G133" i="1"/>
  <c r="G125" i="1"/>
  <c r="G32" i="1"/>
  <c r="K32" i="1" s="1"/>
  <c r="G24" i="1"/>
  <c r="K24" i="1" s="1"/>
  <c r="G16" i="1"/>
  <c r="K16" i="1" s="1"/>
  <c r="G8" i="1"/>
  <c r="K8" i="1" s="1"/>
  <c r="G104" i="1"/>
  <c r="G119" i="1"/>
  <c r="G99" i="1"/>
  <c r="G91" i="1"/>
  <c r="K91" i="1" s="1"/>
  <c r="G83" i="1"/>
  <c r="K83" i="1" s="1"/>
  <c r="G75" i="1"/>
  <c r="G67" i="1"/>
  <c r="G59" i="1"/>
  <c r="G51" i="1"/>
  <c r="G43" i="1"/>
  <c r="G35" i="1"/>
  <c r="J137" i="1"/>
  <c r="J74" i="1"/>
  <c r="K74" i="1" s="1"/>
  <c r="J66" i="1"/>
  <c r="J58" i="1"/>
  <c r="K58" i="1" s="1"/>
  <c r="J115" i="1"/>
  <c r="J56" i="1"/>
  <c r="J98" i="1"/>
  <c r="J50" i="1"/>
  <c r="J113" i="1"/>
  <c r="J90" i="1"/>
  <c r="K90" i="1" s="1"/>
  <c r="J48" i="1"/>
  <c r="J129" i="1"/>
  <c r="J82" i="1"/>
  <c r="J42" i="1"/>
  <c r="J106" i="1"/>
  <c r="J80" i="1"/>
  <c r="J40" i="1"/>
  <c r="J100" i="1"/>
  <c r="J136" i="1"/>
  <c r="J128" i="1"/>
  <c r="J109" i="1"/>
  <c r="J114" i="1"/>
  <c r="J97" i="1"/>
  <c r="J89" i="1"/>
  <c r="J81" i="1"/>
  <c r="J73" i="1"/>
  <c r="J65" i="1"/>
  <c r="J57" i="1"/>
  <c r="J49" i="1"/>
  <c r="J41" i="1"/>
  <c r="J96" i="1"/>
  <c r="K96" i="1" s="1"/>
  <c r="J72" i="1"/>
  <c r="K72" i="1" s="1"/>
  <c r="J64" i="1"/>
  <c r="J105" i="1"/>
  <c r="J112" i="1"/>
  <c r="J87" i="1"/>
  <c r="J79" i="1"/>
  <c r="J71" i="1"/>
  <c r="J63" i="1"/>
  <c r="J55" i="1"/>
  <c r="J47" i="1"/>
  <c r="J39" i="1"/>
  <c r="J133" i="1"/>
  <c r="J125" i="1"/>
  <c r="J104" i="1"/>
  <c r="J119" i="1"/>
  <c r="J94" i="1"/>
  <c r="J86" i="1"/>
  <c r="J78" i="1"/>
  <c r="J70" i="1"/>
  <c r="J62" i="1"/>
  <c r="J54" i="1"/>
  <c r="J46" i="1"/>
  <c r="J38" i="1"/>
  <c r="J135" i="1"/>
  <c r="J127" i="1"/>
  <c r="J132" i="1"/>
  <c r="K132" i="1" s="1"/>
  <c r="J108" i="1"/>
  <c r="J103" i="1"/>
  <c r="J118" i="1"/>
  <c r="K118" i="1" s="1"/>
  <c r="J93" i="1"/>
  <c r="J85" i="1"/>
  <c r="J77" i="1"/>
  <c r="J69" i="1"/>
  <c r="J61" i="1"/>
  <c r="J53" i="1"/>
  <c r="J45" i="1"/>
  <c r="J37" i="1"/>
  <c r="J131" i="1"/>
  <c r="J123" i="1"/>
  <c r="J107" i="1"/>
  <c r="J102" i="1"/>
  <c r="J117" i="1"/>
  <c r="J92" i="1"/>
  <c r="J84" i="1"/>
  <c r="J76" i="1"/>
  <c r="J68" i="1"/>
  <c r="J60" i="1"/>
  <c r="J52" i="1"/>
  <c r="J44" i="1"/>
  <c r="J36" i="1"/>
  <c r="J88" i="1"/>
  <c r="J138" i="1"/>
  <c r="J130" i="1"/>
  <c r="K130" i="1" s="1"/>
  <c r="J111" i="1"/>
  <c r="J101" i="1"/>
  <c r="J116" i="1"/>
  <c r="J99" i="1"/>
  <c r="J75" i="1"/>
  <c r="J67" i="1"/>
  <c r="J59" i="1"/>
  <c r="J51" i="1"/>
  <c r="J43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49" i="1" l="1"/>
  <c r="K150" i="1"/>
  <c r="N148" i="1"/>
  <c r="O148" i="1" s="1"/>
  <c r="D16" i="2" a="1"/>
  <c r="D16" i="2" s="1"/>
  <c r="D17" i="2" s="1"/>
  <c r="B16" i="2" a="1"/>
  <c r="B16" i="2" s="1"/>
  <c r="B17" i="2" s="1"/>
  <c r="K119" i="1"/>
  <c r="K104" i="1"/>
  <c r="K121" i="1"/>
  <c r="K38" i="1"/>
  <c r="K45" i="1"/>
  <c r="K112" i="1"/>
  <c r="K114" i="1"/>
  <c r="K36" i="1"/>
  <c r="K136" i="1"/>
  <c r="K68" i="1"/>
  <c r="K77" i="1"/>
  <c r="K70" i="1"/>
  <c r="K63" i="1"/>
  <c r="K81" i="1"/>
  <c r="K40" i="1"/>
  <c r="K101" i="1"/>
  <c r="K82" i="1"/>
  <c r="K75" i="1"/>
  <c r="K60" i="1"/>
  <c r="K69" i="1"/>
  <c r="K62" i="1"/>
  <c r="K55" i="1"/>
  <c r="K106" i="1"/>
  <c r="K56" i="1"/>
  <c r="K73" i="1"/>
  <c r="K116" i="1"/>
  <c r="K80" i="1"/>
  <c r="K125" i="1"/>
  <c r="K76" i="1"/>
  <c r="K85" i="1"/>
  <c r="K78" i="1"/>
  <c r="K71" i="1"/>
  <c r="K88" i="1"/>
  <c r="K89" i="1"/>
  <c r="K123" i="1"/>
  <c r="K66" i="1"/>
  <c r="K35" i="1"/>
  <c r="K99" i="1"/>
  <c r="K133" i="1"/>
  <c r="K84" i="1"/>
  <c r="K93" i="1"/>
  <c r="K127" i="1"/>
  <c r="K86" i="1"/>
  <c r="K109" i="1"/>
  <c r="K79" i="1"/>
  <c r="K138" i="1"/>
  <c r="K97" i="1"/>
  <c r="K131" i="1"/>
  <c r="K42" i="1"/>
  <c r="K43" i="1"/>
  <c r="K92" i="1"/>
  <c r="K37" i="1"/>
  <c r="K113" i="1"/>
  <c r="K135" i="1"/>
  <c r="K94" i="1"/>
  <c r="K128" i="1"/>
  <c r="K87" i="1"/>
  <c r="K41" i="1"/>
  <c r="K117" i="1"/>
  <c r="K50" i="1"/>
  <c r="K64" i="1"/>
  <c r="K111" i="1"/>
  <c r="K129" i="1"/>
  <c r="K102" i="1"/>
  <c r="K59" i="1"/>
  <c r="K44" i="1"/>
  <c r="K120" i="1"/>
  <c r="K53" i="1"/>
  <c r="K46" i="1"/>
  <c r="K122" i="1"/>
  <c r="K39" i="1"/>
  <c r="K115" i="1"/>
  <c r="K137" i="1"/>
  <c r="K57" i="1"/>
  <c r="K107" i="1"/>
  <c r="K103" i="1"/>
  <c r="K98" i="1"/>
  <c r="K51" i="1"/>
  <c r="K49" i="1"/>
  <c r="K67" i="1"/>
  <c r="K52" i="1"/>
  <c r="K105" i="1"/>
  <c r="K61" i="1"/>
  <c r="K54" i="1"/>
  <c r="K47" i="1"/>
  <c r="K100" i="1"/>
  <c r="K48" i="1"/>
  <c r="K65" i="1"/>
  <c r="K108" i="1"/>
  <c r="B46" i="4"/>
  <c r="B45" i="4"/>
  <c r="B44" i="4"/>
  <c r="B42" i="4"/>
  <c r="B43" i="4"/>
  <c r="B26" i="4"/>
  <c r="B52" i="4"/>
  <c r="B51" i="4"/>
  <c r="B50" i="4"/>
  <c r="B49" i="4"/>
  <c r="B63" i="4"/>
  <c r="O121" i="1" l="1"/>
  <c r="B18" i="2" a="1"/>
  <c r="B18" i="2" s="1"/>
  <c r="D18" i="2" a="1"/>
  <c r="D18" i="2" s="1"/>
  <c r="O122" i="1"/>
  <c r="O120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<sst xmlns="http://schemas.openxmlformats.org/spreadsheetml/2006/main" count="2812" uniqueCount="626">
  <si>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</si>
  <si>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</si>
  <si>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</si>
  <si>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</si>
  <si>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</si>
  <si>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</si>
  <si>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</si>
  <si>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</si>
  <si>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</si>
  <si>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</si>
  <si>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</si>
  <si>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</si>
  <si>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</si>
  <si>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</si>
  <si>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</si>
  <si>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</si>
  <si>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</si>
  <si>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</si>
  <si>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</si>
  <si>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</si>
  <si>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</si>
  <si>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</si>
  <si>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</si>
  <si>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</si>
  <si>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</si>
  <si>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</si>
  <si>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</si>
  <si>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</si>
  <si>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</si>
  <si>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</si>
  <si>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</si>
  <si>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</si>
  <si>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</si>
  <si>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</si>
  <si>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</si>
  <si>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</si>
  <si>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</si>
  <si>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</si>
  <si>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</si>
  <si>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</si>
  <si>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</si>
  <si>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</si>
  <si>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</si>
  <si>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</si>
  <si>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</si>
  <si>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</si>
  <si>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</si>
  <si>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</si>
  <si>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</si>
  <si>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</si>
  <si>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</si>
  <si>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</si>
  <si>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</si>
  <si>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</si>
  <si>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</si>
  <si>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</si>
  <si>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</si>
  <si>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</si>
  <si>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</si>
  <si>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</si>
  <si>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</si>
  <si>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</si>
  <si>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</si>
  <si>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</si>
  <si>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</si>
  <si>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</si>
  <si>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</si>
  <si>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</si>
  <si>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</si>
  <si>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</si>
  <si>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</si>
  <si>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</si>
  <si>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</si>
  <si>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</si>
  <si>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</si>
  <si>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</si>
  <si>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</si>
  <si>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</si>
  <si>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</si>
  <si>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</si>
  <si>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</si>
  <si>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</si>
  <si>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</si>
  <si>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</si>
  <si>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</si>
  <si>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</si>
  <si>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</si>
  <si>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</si>
  <si>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</si>
  <si>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</si>
  <si>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</si>
  <si>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</si>
  <si>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</si>
  <si>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</si>
  <si>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</si>
  <si>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</si>
  <si>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</si>
  <si>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</si>
  <si>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</si>
  <si>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</si>
  <si>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</si>
  <si>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</si>
  <si>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</si>
  <si>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</si>
  <si>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</si>
  <si>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</si>
  <si>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</si>
  <si>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</si>
  <si>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</si>
  <si>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</si>
  <si>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</si>
  <si>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</si>
  <si>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</si>
  <si>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</si>
  <si>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</si>
  <si>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</si>
  <si>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</si>
  <si>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</si>
  <si>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</si>
  <si>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</si>
  <si>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</si>
  <si>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</si>
  <si>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</si>
  <si>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</si>
  <si>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</si>
  <si>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</si>
  <si>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</si>
  <si>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</si>
  <si>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</si>
  <si>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</si>
  <si>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</si>
  <si>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</si>
  <si>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</si>
  <si>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</si>
  <si>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</si>
  <si>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</si>
  <si>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</si>
  <si>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</si>
  <si>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</si>
  <si>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</si>
  <si>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</si>
  <si>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</si>
  <si>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</si>
  <si>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</si>
  <si>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</si>
  <si>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</si>
  <si>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</si>
  <si>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</si>
  <si>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</si>
  <si>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</si>
  <si>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</si>
  <si>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</si>
  <si>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</si>
  <si>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</si>
  <si>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</si>
  <si>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</si>
  <si>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</si>
  <si>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</si>
  <si>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</si>
  <si>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</si>
  <si>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</si>
  <si>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</si>
  <si>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</si>
  <si>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</si>
  <si>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</si>
  <si>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</si>
  <si>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</si>
  <si>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</si>
  <si>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</si>
  <si>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</si>
  <si>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</si>
  <si>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</si>
  <si>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</si>
  <si>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</si>
  <si>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</si>
  <si>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</si>
  <si>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</si>
  <si>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</si>
  <si>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</si>
  <si>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</si>
  <si>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</si>
  <si>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</si>
  <si>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</si>
  <si>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</si>
  <si>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</si>
  <si>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</si>
  <si>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</si>
  <si>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</si>
  <si>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</si>
  <si>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</si>
  <si>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</si>
  <si>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</si>
  <si>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</si>
  <si>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</si>
  <si>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</si>
  <si>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</si>
  <si>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</si>
  <si>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</si>
  <si>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</si>
  <si>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</si>
  <si>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</si>
  <si>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</si>
  <si>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</si>
  <si>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</si>
  <si>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</si>
  <si>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</si>
  <si>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</si>
  <si>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</si>
  <si>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</si>
  <si>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</si>
  <si>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</si>
  <si>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</si>
  <si>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</si>
  <si>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</si>
  <si>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</si>
  <si>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</si>
  <si>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</si>
  <si>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</si>
  <si>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</si>
  <si>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</si>
  <si>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</si>
  <si>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</si>
  <si>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</si>
  <si>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</si>
  <si>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</si>
  <si>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</si>
  <si>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</si>
  <si>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</si>
  <si>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</si>
  <si>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</si>
  <si>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</si>
  <si>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</si>
  <si>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</si>
  <si>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</si>
  <si>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</si>
  <si>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</si>
  <si>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</si>
  <si>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</si>
  <si>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</si>
  <si>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</si>
  <si>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</si>
  <si>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</si>
  <si>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</si>
  <si>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</si>
  <si>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</si>
  <si>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</si>
  <si>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</si>
  <si>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</si>
  <si>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</si>
  <si>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</si>
  <si>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</si>
  <si>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</si>
  <si>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</si>
  <si>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</si>
  <si>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</si>
  <si>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</si>
  <si>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</si>
  <si>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</si>
  <si>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</si>
  <si>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</si>
  <si>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</si>
  <si>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</si>
  <si>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</si>
  <si>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</si>
  <si>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</si>
  <si>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</si>
  <si>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</si>
  <si>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</si>
  <si>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</si>
  <si>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</si>
  <si>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</si>
  <si>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</si>
  <si>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</si>
  <si>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</si>
  <si>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</si>
  <si>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</si>
  <si>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</si>
  <si>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</si>
  <si>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</si>
  <si>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</si>
  <si>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</si>
  <si>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</si>
  <si>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</si>
  <si>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</si>
  <si>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</si>
  <si>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</si>
  <si>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</si>
  <si>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</si>
  <si>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</si>
  <si>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</si>
  <si>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</si>
  <si>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</si>
  <si>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</si>
  <si>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</si>
  <si>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</si>
  <si>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</si>
  <si>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</si>
  <si>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</si>
  <si>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</si>
  <si>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</si>
  <si>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</si>
  <si>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</si>
  <si>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</si>
  <si>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</si>
  <si>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</si>
  <si>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</si>
  <si>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</si>
  <si>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</si>
  <si>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</si>
  <si>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</si>
  <si>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</si>
  <si>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</si>
  <si>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</si>
  <si>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</si>
  <si>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</si>
  <si>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</si>
  <si>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</si>
  <si>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</si>
  <si>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</si>
  <si>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</si>
  <si>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</si>
  <si>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</si>
  <si>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</si>
  <si>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</si>
  <si>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</si>
  <si>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</si>
  <si>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</si>
  <si>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</si>
  <si>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</si>
  <si>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</si>
  <si>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</si>
  <si>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</si>
  <si>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</si>
  <si>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</si>
  <si>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</si>
  <si>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</si>
  <si>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</si>
  <si>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</si>
  <si>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</si>
  <si>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</si>
  <si>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</si>
  <si>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</si>
  <si>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</si>
  <si>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</si>
  <si>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</si>
  <si>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</si>
  <si>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</si>
  <si>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</si>
  <si>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</si>
  <si>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</si>
  <si>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</si>
  <si>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</si>
  <si>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</si>
  <si>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</si>
  <si>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</si>
  <si>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</si>
  <si>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</si>
  <si>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</si>
  <si>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</si>
  <si>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</si>
  <si>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</si>
  <si>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</si>
  <si>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</si>
  <si>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</si>
  <si>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</si>
  <si>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</si>
  <si>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</si>
  <si>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</si>
  <si>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</si>
  <si>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</si>
  <si>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</si>
  <si>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</si>
  <si>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</si>
  <si>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</si>
  <si>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</si>
  <si>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</si>
  <si>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</si>
  <si>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</si>
  <si>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</si>
  <si>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</si>
  <si>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</si>
  <si>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</si>
  <si>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</si>
  <si>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</si>
  <si>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</si>
  <si>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</si>
  <si>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</si>
  <si>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</si>
  <si>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</si>
  <si>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</si>
  <si>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</si>
  <si>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</si>
  <si>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</si>
  <si>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</si>
  <si>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</si>
  <si>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</si>
  <si>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</si>
  <si>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</si>
  <si>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</si>
  <si>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</si>
  <si>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</si>
  <si>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</si>
  <si>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</si>
  <si>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</si>
  <si>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</si>
  <si>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</si>
  <si>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</si>
  <si>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</si>
  <si>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</si>
  <si>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</si>
  <si>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</si>
  <si>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</si>
  <si>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</si>
  <si>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</si>
  <si>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</si>
  <si>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</si>
  <si>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</si>
  <si>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</si>
  <si>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</si>
  <si>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</si>
  <si>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</si>
  <si>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</si>
  <si>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</si>
  <si>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</si>
  <si>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</si>
  <si>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</si>
  <si>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</si>
  <si>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</si>
  <si>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</si>
  <si>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</si>
  <si>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</si>
  <si>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</si>
  <si>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</si>
  <si>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</si>
  <si>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</si>
  <si>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</si>
  <si>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</si>
  <si>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</si>
  <si>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</si>
  <si>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</si>
  <si>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</si>
  <si>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</si>
  <si>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</si>
  <si>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</si>
  <si>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</si>
  <si>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</si>
  <si>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</si>
  <si>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</si>
  <si>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</si>
  <si>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</si>
  <si>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</si>
  <si>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</si>
  <si>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</si>
  <si>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</si>
  <si>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</si>
  <si>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</si>
  <si>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</si>
  <si>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</si>
  <si>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</si>
  <si>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</si>
  <si>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</si>
  <si>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</si>
  <si>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</si>
  <si>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</si>
  <si>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</si>
  <si>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</si>
  <si>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</si>
  <si>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</si>
  <si>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</si>
  <si>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</si>
  <si>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</si>
  <si>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</si>
  <si>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</si>
  <si>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</si>
  <si>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</si>
  <si>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</si>
  <si>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</si>
  <si>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</si>
  <si>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</si>
  <si>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</si>
  <si>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</si>
  <si>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</si>
  <si>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</si>
  <si>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</si>
  <si>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</si>
  <si>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</si>
  <si>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</si>
  <si>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</si>
  <si>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</si>
  <si>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</si>
  <si>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</si>
  <si>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</si>
  <si>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</si>
  <si>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</si>
  <si>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</si>
  <si>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</si>
  <si>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</si>
  <si>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</si>
  <si>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</si>
  <si>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</si>
  <si>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</si>
  <si>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</si>
  <si>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</si>
  <si>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</si>
  <si>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</si>
  <si>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</si>
  <si>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</si>
  <si>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</si>
  <si>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</si>
  <si>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</si>
  <si>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</si>
  <si>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</si>
  <si>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</si>
  <si>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</si>
  <si>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</si>
  <si>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</si>
  <si>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</si>
  <si>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</si>
  <si>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</si>
  <si>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</si>
  <si>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</si>
  <si>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</si>
  <si>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</si>
  <si>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</si>
  <si>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</si>
  <si>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</si>
  <si>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</si>
  <si>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</si>
  <si>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</si>
  <si>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</si>
  <si>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</si>
  <si>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</si>
  <si>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</si>
  <si>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</si>
  <si>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</si>
  <si>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</si>
  <si>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</si>
  <si>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</si>
  <si>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</si>
  <si>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</si>
  <si>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</si>
  <si>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</si>
  <si>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</si>
  <si>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</si>
  <si>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</si>
  <si>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</si>
  <si>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</si>
  <si>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</si>
  <si>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</si>
  <si>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</si>
  <si>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</si>
  <si>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</si>
  <si>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</si>
  <si>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</si>
  <si>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</si>
  <si>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</si>
  <si>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</si>
  <si>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</si>
  <si>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</si>
  <si>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</si>
  <si>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</si>
  <si>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</si>
  <si>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</si>
  <si>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</si>
  <si>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</si>
  <si>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</si>
  <si>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</si>
  <si>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</si>
  <si>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</si>
  <si>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</si>
  <si>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</si>
  <si>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</si>
  <si>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</si>
  <si>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</si>
  <si>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</si>
  <si>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</si>
  <si>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</si>
  <si>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</si>
  <si>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</si>
  <si>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</si>
  <si>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</si>
  <si>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</si>
  <si>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</si>
  <si>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</si>
  <si>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</si>
  <si>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</si>
  <si>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</si>
  <si>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</si>
  <si>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</si>
  <si>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</si>
  <si>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</si>
  <si>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</si>
  <si>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</si>
  <si>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</si>
  <si>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</si>
  <si>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</si>
  <si>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</si>
  <si>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</si>
  <si>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</si>
  <si>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</si>
  <si>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</si>
  <si>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</si>
  <si>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</si>
  <si>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</si>
  <si>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</si>
  <si>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</si>
  <si>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</si>
  <si>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</si>
  <si>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</si>
  <si>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</si>
  <si>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</si>
  <si>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</si>
  <si>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</si>
  <si>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</si>
  <si>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</si>
  <si>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</si>
  <si>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</si>
  <si>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</si>
  <si>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</si>
  <si>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</si>
  <si>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</si>
  <si>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</si>
  <si>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</si>
  <si>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</si>
  <si>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</si>
  <si>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UHCH Competitive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</si>
</sst>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32">
    <xf numFmtId="0" fontId="0" fillId="0" borderId="0" xfId="0"/>
    <xf numFmtId="0" fontId="13" fillId="0" borderId="0" xfId="0" applyFont="1"/>
    <xf numFmtId="43" fontId="14" fillId="0" borderId="0" xfId="1" applyFont="1" applyFill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3" fillId="0" borderId="0" xfId="1" applyFont="1" applyFill="1" applyBorder="1"/>
    <xf numFmtId="43" fontId="0" fillId="0" borderId="0" xfId="1" applyFont="1" applyFill="1" applyBorder="1"/>
    <xf numFmtId="43" fontId="14" fillId="0" borderId="0" xfId="1" applyFont="1" applyFill="1"/>
    <xf numFmtId="0" fontId="0" fillId="0" borderId="0" xfId="0" applyAlignment="1">
      <alignment vertical="center"/>
    </xf>
    <xf numFmtId="49" fontId="14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5" fillId="0" borderId="0" xfId="0" applyFont="1" applyAlignment="1">
      <alignment horizontal="center"/>
    </xf>
    <xf numFmtId="1" fontId="13" fillId="0" borderId="0" xfId="0" applyNumberFormat="1" applyFont="1"/>
    <xf numFmtId="1" fontId="14" fillId="0" borderId="0" xfId="1" applyNumberFormat="1" applyFont="1" applyFill="1" applyBorder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6" fillId="3" borderId="10" xfId="0" applyFont="1" applyFill="1" applyBorder="1"/>
    <xf numFmtId="0" fontId="16" fillId="3" borderId="11" xfId="0" applyFont="1" applyFill="1" applyBorder="1"/>
    <xf numFmtId="0" fontId="16" fillId="3" borderId="12" xfId="0" applyFont="1" applyFill="1" applyBorder="1"/>
    <xf numFmtId="43" fontId="0" fillId="0" borderId="0" xfId="0" applyNumberFormat="1"/>
    <xf numFmtId="43" fontId="14" fillId="0" borderId="0" xfId="1" applyFont="1"/>
    <xf numFmtId="1" fontId="14" fillId="0" borderId="0" xfId="1" applyNumberFormat="1" applyFont="1"/>
    <xf numFmtId="49" fontId="14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4" fillId="0" borderId="0" xfId="1" applyNumberFormat="1" applyFont="1" applyFill="1"/>
    <xf numFmtId="0" fontId="11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43" fontId="10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9" fillId="0" borderId="0" xfId="0" applyFont="1"/>
    <xf numFmtId="0" fontId="8" fillId="0" borderId="0" xfId="0" applyFont="1"/>
    <xf numFmtId="43" fontId="8" fillId="0" borderId="0" xfId="1" applyFont="1" applyFill="1"/>
    <xf numFmtId="43" fontId="8" fillId="0" borderId="0" xfId="1" applyFont="1" applyFill="1" applyBorder="1"/>
    <xf numFmtId="1" fontId="8" fillId="0" borderId="0" xfId="1" applyNumberFormat="1" applyFont="1" applyFill="1" applyBorder="1"/>
    <xf numFmtId="49" fontId="8" fillId="0" borderId="0" xfId="1" applyNumberFormat="1" applyFont="1" applyFill="1"/>
    <xf numFmtId="49" fontId="8" fillId="0" borderId="0" xfId="1" applyNumberFormat="1" applyFont="1" applyFill="1" applyBorder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4" fillId="0" borderId="0" xfId="1" applyFont="1" applyFill="1"/>
    <xf numFmtId="43" fontId="5" fillId="0" borderId="0" xfId="0" applyNumberFormat="1" applyFont="1"/>
    <xf numFmtId="43" fontId="9" fillId="0" borderId="0" xfId="0" applyNumberFormat="1" applyFont="1"/>
    <xf numFmtId="43" fontId="6" fillId="0" borderId="0" xfId="0" applyNumberFormat="1" applyFont="1"/>
    <xf numFmtId="43" fontId="14" fillId="0" borderId="0" xfId="0" applyNumberFormat="1" applyFont="1"/>
    <xf numFmtId="43" fontId="14" fillId="0" borderId="0" xfId="0" applyNumberFormat="1" applyFont="1" applyAlignment="1">
      <alignment horizontal="center"/>
    </xf>
    <xf numFmtId="43" fontId="3" fillId="0" borderId="0" xfId="1" applyFont="1" applyProtection="1"/>
    <xf numFmtId="43" fontId="18" fillId="0" borderId="0" xfId="1" applyFont="1" applyProtection="1"/>
    <xf numFmtId="0" fontId="3" fillId="2" borderId="3" xfId="0" applyFont="1" applyFill="1" applyBorder="1" applyAlignment="1" applyProtection="1">
      <alignment horizontal="right"/>
      <protection locked="0"/>
    </xf>
    <xf numFmtId="43" fontId="18" fillId="0" borderId="1" xfId="1" applyFont="1" applyBorder="1" applyProtection="1"/>
    <xf numFmtId="43" fontId="3" fillId="0" borderId="7" xfId="1" applyFont="1" applyBorder="1" applyProtection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3" fontId="14" fillId="0" borderId="13" xfId="1" applyFont="1" applyFill="1" applyBorder="1"/>
    <xf numFmtId="0" fontId="3" fillId="0" borderId="0" xfId="0" applyFont="1"/>
    <xf numFmtId="0" fontId="3" fillId="0" borderId="0" xfId="0" applyFont="1" applyAlignment="1">
      <alignment horizontal="right"/>
    </xf>
    <xf numFmtId="0" fontId="19" fillId="0" borderId="0" xfId="0" applyFont="1" applyAlignment="1">
      <alignment vertical="center"/>
    </xf>
    <xf numFmtId="0" fontId="19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Continuous"/>
    </xf>
    <xf numFmtId="0" fontId="20" fillId="0" borderId="4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18" fillId="0" borderId="0" xfId="0" applyFont="1" applyAlignment="1">
      <alignment horizontal="center"/>
    </xf>
    <xf numFmtId="0" fontId="18" fillId="0" borderId="6" xfId="0" applyFont="1" applyBorder="1" applyAlignment="1">
      <alignment horizontal="right"/>
    </xf>
    <xf numFmtId="43" fontId="3" fillId="0" borderId="7" xfId="1" applyFont="1" applyBorder="1" applyAlignment="1" applyProtection="1">
      <alignment horizontal="left"/>
    </xf>
    <xf numFmtId="43" fontId="3" fillId="0" borderId="7" xfId="1" applyFont="1" applyBorder="1" applyAlignment="1" applyProtection="1">
      <alignment horizontal="right"/>
    </xf>
    <xf numFmtId="43" fontId="3" fillId="0" borderId="7" xfId="0" applyNumberFormat="1" applyFont="1" applyBorder="1"/>
    <xf numFmtId="0" fontId="18" fillId="0" borderId="8" xfId="0" applyFont="1" applyBorder="1" applyAlignment="1">
      <alignment horizontal="right"/>
    </xf>
    <xf numFmtId="43" fontId="3" fillId="0" borderId="9" xfId="1" applyFont="1" applyBorder="1" applyAlignment="1" applyProtection="1">
      <alignment horizontal="left"/>
    </xf>
    <xf numFmtId="43" fontId="3" fillId="0" borderId="9" xfId="0" applyNumberFormat="1" applyFont="1" applyBorder="1"/>
    <xf numFmtId="43" fontId="3" fillId="0" borderId="0" xfId="1" applyFont="1" applyAlignment="1" applyProtection="1">
      <alignment horizontal="left"/>
    </xf>
    <xf numFmtId="43" fontId="3" fillId="0" borderId="0" xfId="0" applyNumberFormat="1" applyFont="1"/>
    <xf numFmtId="43" fontId="3" fillId="0" borderId="0" xfId="1" applyFont="1" applyAlignment="1" applyProtection="1"/>
    <xf numFmtId="0" fontId="3" fillId="0" borderId="0" xfId="0" applyFont="1" applyAlignment="1">
      <alignment horizontal="left"/>
    </xf>
    <xf numFmtId="43" fontId="3" fillId="0" borderId="0" xfId="1" applyFont="1" applyAlignment="1" applyProtection="1">
      <alignment horizontal="right"/>
    </xf>
    <xf numFmtId="0" fontId="18" fillId="0" borderId="0" xfId="0" applyFont="1" applyAlignment="1">
      <alignment horizontal="right"/>
    </xf>
    <xf numFmtId="43" fontId="18" fillId="0" borderId="0" xfId="0" applyNumberFormat="1" applyFont="1"/>
    <xf numFmtId="0" fontId="19" fillId="0" borderId="0" xfId="0" applyFont="1" applyAlignment="1">
      <alignment horizontal="right"/>
    </xf>
    <xf numFmtId="0" fontId="3" fillId="2" borderId="2" xfId="0" applyFont="1" applyFill="1" applyBorder="1"/>
    <xf numFmtId="0" fontId="2" fillId="0" borderId="15" xfId="0" applyFont="1" applyBorder="1"/>
    <xf numFmtId="0" fontId="2" fillId="5" borderId="13" xfId="0" applyFont="1" applyFill="1" applyBorder="1"/>
    <xf numFmtId="0" fontId="2" fillId="0" borderId="13" xfId="0" applyFont="1" applyBorder="1"/>
    <xf numFmtId="43" fontId="2" fillId="0" borderId="13" xfId="1" applyFont="1" applyFill="1" applyBorder="1"/>
    <xf numFmtId="43" fontId="2" fillId="0" borderId="13" xfId="1" applyFont="1" applyFill="1" applyBorder="1" applyAlignment="1">
      <alignment horizontal="center"/>
    </xf>
    <xf numFmtId="1" fontId="2" fillId="0" borderId="13" xfId="1" applyNumberFormat="1" applyFont="1" applyFill="1" applyBorder="1"/>
    <xf numFmtId="49" fontId="2" fillId="0" borderId="13" xfId="1" applyNumberFormat="1" applyFont="1" applyFill="1" applyBorder="1"/>
    <xf numFmtId="43" fontId="2" fillId="0" borderId="16" xfId="1" applyFont="1" applyFill="1" applyBorder="1"/>
    <xf numFmtId="0" fontId="2" fillId="0" borderId="17" xfId="0" applyFont="1" applyBorder="1"/>
    <xf numFmtId="0" fontId="2" fillId="0" borderId="14" xfId="0" applyFont="1" applyBorder="1"/>
    <xf numFmtId="43" fontId="2" fillId="0" borderId="14" xfId="1" applyFont="1" applyFill="1" applyBorder="1"/>
    <xf numFmtId="43" fontId="2" fillId="0" borderId="14" xfId="1" applyFont="1" applyFill="1" applyBorder="1" applyAlignment="1">
      <alignment horizontal="center"/>
    </xf>
    <xf numFmtId="1" fontId="2" fillId="0" borderId="14" xfId="1" applyNumberFormat="1" applyFont="1" applyFill="1" applyBorder="1"/>
    <xf numFmtId="49" fontId="2" fillId="0" borderId="14" xfId="1" applyNumberFormat="1" applyFont="1" applyFill="1" applyBorder="1"/>
    <xf numFmtId="43" fontId="2" fillId="0" borderId="18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8" fillId="6" borderId="0" xfId="1" applyFont="1" applyFill="1" applyBorder="1"/>
    <xf numFmtId="43" fontId="14" fillId="6" borderId="0" xfId="1" applyFont="1" applyFill="1" applyBorder="1"/>
    <xf numFmtId="43" fontId="14" fillId="6" borderId="0" xfId="1" applyFont="1" applyFill="1"/>
    <xf numFmtId="43" fontId="21" fillId="6" borderId="0" xfId="1" applyFont="1" applyFill="1" applyAlignment="1">
      <alignment horizontal="center"/>
    </xf>
    <xf numFmtId="43" fontId="21" fillId="6" borderId="0" xfId="1" applyFont="1" applyFill="1" applyBorder="1" applyAlignment="1">
      <alignment horizontal="center"/>
    </xf>
    <xf numFmtId="49" fontId="13" fillId="0" borderId="0" xfId="0" applyNumberFormat="1" applyFont="1" applyAlignment="1">
      <alignment horizontal="center"/>
    </xf>
    <xf numFmtId="49" fontId="8" fillId="0" borderId="0" xfId="1" applyNumberFormat="1" applyFont="1" applyFill="1" applyBorder="1" applyAlignment="1">
      <alignment horizontal="center"/>
    </xf>
    <xf numFmtId="49" fontId="14" fillId="0" borderId="0" xfId="1" applyNumberFormat="1" applyFont="1" applyAlignment="1">
      <alignment horizontal="center"/>
    </xf>
    <xf numFmtId="49" fontId="14" fillId="0" borderId="0" xfId="1" applyNumberFormat="1" applyFont="1" applyFill="1" applyBorder="1" applyAlignment="1">
      <alignment horizontal="center"/>
    </xf>
    <xf numFmtId="49" fontId="2" fillId="0" borderId="0" xfId="1" applyNumberFormat="1" applyFont="1" applyFill="1" applyBorder="1" applyAlignment="1">
      <alignment horizontal="center"/>
    </xf>
    <xf numFmtId="49" fontId="2" fillId="0" borderId="13" xfId="1" applyNumberFormat="1" applyFont="1" applyFill="1" applyBorder="1" applyAlignment="1">
      <alignment horizontal="center"/>
    </xf>
    <xf numFmtId="49" fontId="2" fillId="0" borderId="14" xfId="1" applyNumberFormat="1" applyFont="1" applyFill="1" applyBorder="1" applyAlignment="1">
      <alignment horizontal="center"/>
    </xf>
    <xf numFmtId="49" fontId="1" fillId="0" borderId="0" xfId="1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0" fontId="18" fillId="0" borderId="0" xfId="0" applyFont="1" applyAlignment="1">
      <alignment horizontal="right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6" totalsRowShown="0" headerRowDxfId="59" dataDxfId="58">
  <autoFilter ref="A1:V156" xr:uid="{0EDF487B-BC6A-43CC-A5E2-F07346E1A4ED}"/>
  <sortState xmlns:xlrd2="http://schemas.microsoft.com/office/spreadsheetml/2017/richdata2" ref="A2:V138">
    <sortCondition ref="I1:I138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0" dataCellStyle="Comma"/>
    <tableColumn id="19" xr3:uid="{7FD8661B-3CB2-4419-B4E4-F4B466463008}" name="Discount Type 3" dataDxfId="46" dataCellStyle="Comma"/>
    <tableColumn id="21" xr3:uid="{F690564D-67FB-47A7-BB92-4594973E8684}" name="Discount Amount 3" dataDxfId="45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4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3" dataCellStyle="Comma"/>
    <tableColumn id="10" xr3:uid="{C584D592-9121-42BD-ADD1-A997B12ADB03}" name="paFittingFee" dataDxfId="42" dataCellStyle="Comma"/>
    <tableColumn id="4" xr3:uid="{D4BCCF1D-8129-4502-AE64-888D352A8485}" name="chargerType" dataDxfId="41" dataCellStyle="Comma"/>
    <tableColumn id="5" xr3:uid="{8D61B71A-686D-41F5-A2BF-54F259932C23}" name="chargerPrice" dataDxfId="40" dataCellStyle="Comma"/>
    <tableColumn id="11" xr3:uid="{8C0379A7-F346-4094-953F-A4AB4D0878CB}" name="haReceiverType" dataDxfId="39" dataCellStyle="Comma"/>
    <tableColumn id="9" xr3:uid="{5D6BB6BD-447F-4911-B6E4-986FB62F14A1}" name="haReceiverPrice" dataDxfId="38" dataCellStyle="Comma"/>
    <tableColumn id="12" xr3:uid="{E1863ADB-80F5-499D-B829-43F23A36EF68}" name="haReceiverDiscountDescription" dataDxfId="37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6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5"/>
    <tableColumn id="4" xr3:uid="{AFD2CC34-308A-452C-88C9-7ABCC4C3CBAE}" name="barcode" dataDxfId="34">
      <calculatedColumnFormula>"("&amp;A2&amp;")"</calculatedColumnFormula>
    </tableColumn>
    <tableColumn id="9" xr3:uid="{B8801611-8566-463A-835D-35713DE2FBEA}" name="receiverType" dataDxfId="33"/>
    <tableColumn id="1" xr3:uid="{AD24FFA9-E8B9-4018-8A06-B4494014DBB8}" name="receiverRightDescription2" dataDxfId="32"/>
    <tableColumn id="2" xr3:uid="{2C8BFB26-ADC9-49BF-859D-B9B1DD563DA3}" name="receiverLeftDescription" dataDxfId="31"/>
    <tableColumn id="8" xr3:uid="{DF46FFD8-CF92-4CF1-A0FF-3A3AA14FB6A7}" name="receiverListAmount" dataDxfId="30"/>
    <tableColumn id="5" xr3:uid="{F789C631-ACE4-4877-A193-CFB176AB4CAA}" name="receiverDiscountAmount" dataDxfId="29"/>
    <tableColumn id="6" xr3:uid="{F07C2478-D3D3-4691-BC4C-7E1A65A10250}" name="receiverDiscountDescription" dataDxfId="28"/>
    <tableColumn id="7" xr3:uid="{F77E97F1-5006-4D72-B46E-440B6D66854F}" name="receiverPrice" dataDxfId="27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6" headerRowBorderDxfId="25" tableBorderDxfId="24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3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2"/>
    <tableColumn id="8" xr3:uid="{D7583571-F6BF-4E66-B4FE-1F6C0658D1E4}" name="remoteAmount" dataDxfId="21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20" dataDxfId="18" headerRowBorderDxfId="19" tableBorderDxfId="17">
  <autoFilter ref="A1:H3" xr:uid="{9E35851D-E21C-4957-852B-C619133CF977}"/>
  <tableColumns count="8">
    <tableColumn id="1" xr3:uid="{9C5C5DE5-EA97-4EF1-8892-EBFCAC4443EA}" name="barcodeName" dataDxfId="16"/>
    <tableColumn id="2" xr3:uid="{3987A654-3331-4022-95F5-BEF488FDFD5D}" name="barcode" dataDxfId="15">
      <calculatedColumnFormula>"("&amp;A2&amp;")"</calculatedColumnFormula>
    </tableColumn>
    <tableColumn id="3" xr3:uid="{B575D7DB-8A17-44F2-812F-84D8DF10D3DD}" name="serviceDescription" dataDxfId="14"/>
    <tableColumn id="4" xr3:uid="{1E8BF5D4-6F7F-4C9F-B1C6-A5382AB6523A}" name="serviceDiscountDescription" dataDxfId="13"/>
    <tableColumn id="7" xr3:uid="{A104B7ED-7164-4645-80F4-4FB3B815FA1C}" name="serviceListAmount" dataDxfId="12" dataCellStyle="Comma"/>
    <tableColumn id="5" xr3:uid="{FA21F863-CA81-4450-AB48-77E6CBCB2D99}" name="serviceDiscountAmount" dataDxfId="11" dataCellStyle="Comma"/>
    <tableColumn id="8" xr3:uid="{0C0AAA86-C611-4A7B-8F6A-7547563ECBBB}" name="serviceAmount" dataDxfId="10" dataCellStyle="Comma"/>
    <tableColumn id="6" xr3:uid="{BA455156-79BF-4EC7-BA14-3484B2B4810B}" name="paFittingFee" dataDxfId="9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8">
  <autoFilter ref="A1:G3" xr:uid="{06EED7A3-D2B4-46BC-8F41-FB11FC20F42F}"/>
  <tableColumns count="7">
    <tableColumn id="1" xr3:uid="{EA5C7967-7D68-4146-84DE-1135A119CC3D}" name="barcodeName" dataDxfId="7"/>
    <tableColumn id="2" xr3:uid="{C49A42F5-93EA-4670-959A-42455600C7C8}" name="barcode" dataDxfId="6">
      <calculatedColumnFormula>"("&amp;A2&amp;")"</calculatedColumnFormula>
    </tableColumn>
    <tableColumn id="3" xr3:uid="{2609A236-2D4A-49A0-BD07-CC9B0426F536}" name="accessoryDescription" dataDxfId="5"/>
    <tableColumn id="4" xr3:uid="{9F5155AE-6C5F-4BA4-AD9F-DAE0C8053CCF}" name="accessoryDiscountDescription" dataDxfId="4"/>
    <tableColumn id="6" xr3:uid="{CE967C46-B3C7-4797-BD2D-C5D197F6260B}" name="accessoryListAmount" dataDxfId="3" dataCellStyle="Comma"/>
    <tableColumn id="5" xr3:uid="{CAA4A522-ACE9-4EE8-A795-EFB2F9D3E99B}" name="accessoryDiscountAmount" dataDxfId="2" dataCellStyle="Comma"/>
    <tableColumn id="7" xr3:uid="{C6197BEF-5482-4860-814F-46EEEB1E034B}" name="accessoryAmount" dataDxfId="1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66" customWidth="1"/>
    <col min="2" max="2" width="16.5703125" style="66" customWidth="1"/>
    <col min="3" max="3" width="22" style="66" customWidth="1"/>
    <col min="4" max="5" width="19.28515625" style="66" customWidth="1"/>
    <col min="6" max="6" width="38.28515625" style="66" bestFit="1" customWidth="1"/>
    <col min="7" max="7" width="18.140625" style="66" customWidth="1"/>
    <col min="8" max="16384" width="9.140625" style="66"/>
  </cols>
  <sheetData>
    <row r="2" spans="1:8" ht="13.5" thickBot="1"/>
    <row r="3" spans="1:8" ht="13.5" thickBot="1">
      <c r="A3" s="67" t="s">
        <v>586</v>
      </c>
      <c r="B3" s="130" t="s">
        <v>499</v>
      </c>
      <c r="C3" s="131"/>
    </row>
    <row r="4" spans="1:8" ht="13.5" thickBot="1">
      <c r="A4" s="67"/>
    </row>
    <row r="5" spans="1:8" ht="13.5" thickBot="1">
      <c r="A5" s="67" t="s">
        <v>0</v>
      </c>
      <c r="B5" s="130">
        <v>2</v>
      </c>
      <c r="C5" s="131"/>
    </row>
    <row r="6" spans="1:8" ht="13.5" thickBot="1">
      <c r="A6" s="67"/>
      <c r="G6" s="68"/>
      <c r="H6" s="69"/>
    </row>
    <row r="7" spans="1:8" ht="13.5" thickBot="1">
      <c r="A7" s="67" t="s">
        <v>61</v>
      </c>
      <c r="B7" s="130" t="s">
        <v>597</v>
      </c>
      <c r="C7" s="131"/>
    </row>
    <row r="8" spans="1:8">
      <c r="A8" s="67"/>
    </row>
    <row r="10" spans="1:8">
      <c r="A10" s="70" t="s">
        <v>2</v>
      </c>
      <c r="B10" s="71"/>
      <c r="C10" s="71"/>
      <c r="D10" s="71"/>
      <c r="E10" s="71"/>
      <c r="F10" s="71"/>
      <c r="G10" s="70"/>
    </row>
    <row r="11" spans="1:8" ht="13.5" thickBot="1">
      <c r="A11" s="71"/>
      <c r="B11" s="71"/>
      <c r="C11" s="71"/>
      <c r="D11" s="71"/>
      <c r="E11" s="71"/>
      <c r="F11" s="71"/>
      <c r="G11" s="70"/>
    </row>
    <row r="12" spans="1:8">
      <c r="A12" s="72" t="s">
        <v>593</v>
      </c>
      <c r="B12" s="73" t="s">
        <v>594</v>
      </c>
      <c r="C12" s="72" t="s">
        <v>595</v>
      </c>
      <c r="D12" s="73" t="s">
        <v>594</v>
      </c>
      <c r="F12" s="74"/>
    </row>
    <row r="13" spans="1:8" ht="18" customHeight="1">
      <c r="A13" s="75" t="s">
        <v>412</v>
      </c>
      <c r="B13" s="76" cm="1">
        <f t="array" ref="B13">IF($B$3="","",_xlfn.XLOOKUP($B$3&amp;$B$7,haList!A:A&amp;haList!I:I,haList!D:D))</f>
        <v>3029</v>
      </c>
      <c r="C13" s="75" t="s">
        <v>412</v>
      </c>
      <c r="D13" s="77" cm="1">
        <f t="array" ref="D13">IF($B$5=1,"",_xlfn.XLOOKUP($B$3&amp;$B$7,haList!A:A&amp;haList!I:I,haList!D:D))</f>
        <v>3029</v>
      </c>
      <c r="F13" s="58"/>
    </row>
    <row r="14" spans="1:8" ht="18" customHeight="1">
      <c r="A14" s="75" t="s">
        <v>538</v>
      </c>
      <c r="B14" s="62" cm="1">
        <f t="array" ref="B14">_xlfn.XLOOKUP($B$3,haList!$A:$A,-haList!$F:$F)</f>
        <v>-666.5</v>
      </c>
      <c r="C14" s="75" t="s">
        <v>538</v>
      </c>
      <c r="D14" s="62" cm="1">
        <f t="array" ref="D14">IF(B5=1,"",_xlfn.XLOOKUP($B$3,haList!$A:$A,-haList!$F:$F))</f>
        <v>-666.5</v>
      </c>
      <c r="E14" s="58"/>
      <c r="F14" s="58"/>
    </row>
    <row r="15" spans="1:8" ht="18" customHeight="1">
      <c r="A15" s="75" t="s">
        <v>587</v>
      </c>
      <c r="B15" s="76">
        <f>B13+B14</f>
        <v>2362.5</v>
      </c>
      <c r="C15" s="75" t="s">
        <v>587</v>
      </c>
      <c r="D15" s="78">
        <f>IF(B5=1,"",D13+D14)</f>
        <v>2362.5</v>
      </c>
      <c r="E15" s="58"/>
      <c r="F15" s="58"/>
    </row>
    <row r="16" spans="1:8" ht="18" customHeight="1">
      <c r="A16" s="75" t="s">
        <v>588</v>
      </c>
      <c r="B16" s="76" cm="1">
        <f t="array" ref="B16">_xlfn.XLOOKUP($B$3&amp;$B$7,haList!$A:$A&amp;haList!$I:$I,-haList!$J:$J)</f>
        <v>0</v>
      </c>
      <c r="C16" s="75" t="s">
        <v>588</v>
      </c>
      <c r="D16" s="76" cm="1">
        <f t="array" ref="D16">IF(B5=1,"",_xlfn.XLOOKUP($B$3&amp;$B$7,haList!$A:$A&amp;haList!$I:$I,-haList!$J:$J))</f>
        <v>0</v>
      </c>
      <c r="E16" s="58"/>
      <c r="F16" s="58"/>
    </row>
    <row r="17" spans="1:9" ht="18" customHeight="1">
      <c r="A17" s="75" t="s">
        <v>589</v>
      </c>
      <c r="B17" s="76">
        <f>B15+B16</f>
        <v>2362.5</v>
      </c>
      <c r="C17" s="75" t="s">
        <v>589</v>
      </c>
      <c r="D17" s="78">
        <f>IF(B5=1,"",D15+D16)</f>
        <v>2362.5</v>
      </c>
      <c r="E17" s="58"/>
      <c r="F17" s="58"/>
    </row>
    <row r="18" spans="1:9" ht="18" customHeight="1">
      <c r="A18" s="75" t="s">
        <v>590</v>
      </c>
      <c r="B18" s="76" cm="1">
        <f t="array" ref="B18">IF($B$7="Open House Special",_xlfn.XLOOKUP($B$3&amp;"Marketing Offer",haList!$A:$A&amp;haList!$M:$M,-haList!$N:$N),0)</f>
        <v>0</v>
      </c>
      <c r="C18" s="75" t="s">
        <v>590</v>
      </c>
      <c r="D18" s="76" cm="1">
        <f t="array" ref="D18">IF(B5=1,"",IF($B$7="Open House Special",_xlfn.XLOOKUP($B$3&amp;"Marketing Offer",haList!$A:$A&amp;haList!$M:$M,-haList!$N:$N),0))</f>
        <v>0</v>
      </c>
      <c r="E18" s="58"/>
      <c r="F18" s="58"/>
    </row>
    <row r="19" spans="1:9" ht="18" customHeight="1" thickBot="1">
      <c r="A19" s="79" t="s">
        <v>591</v>
      </c>
      <c r="B19" s="80">
        <f>B17+B18</f>
        <v>2362.5</v>
      </c>
      <c r="C19" s="79" t="s">
        <v>591</v>
      </c>
      <c r="D19" s="81">
        <f>IF(B5=1,"",D17+D18)</f>
        <v>2362.5</v>
      </c>
      <c r="E19" s="58"/>
      <c r="F19" s="58"/>
    </row>
    <row r="20" spans="1:9" ht="18" customHeight="1">
      <c r="D20" s="82"/>
      <c r="E20" s="58"/>
      <c r="F20" s="58"/>
    </row>
    <row r="21" spans="1:9" ht="18" customHeight="1">
      <c r="D21" s="82"/>
      <c r="E21" s="58"/>
      <c r="F21" s="58"/>
    </row>
    <row r="22" spans="1:9" ht="18" customHeight="1">
      <c r="B22" s="67" t="s">
        <v>592</v>
      </c>
      <c r="C22" s="83">
        <f>B19</f>
        <v>2362.5</v>
      </c>
      <c r="D22" s="82"/>
      <c r="E22" s="58"/>
      <c r="F22" s="58"/>
    </row>
    <row r="23" spans="1:9" ht="18" customHeight="1">
      <c r="B23" s="67" t="str">
        <f>IF($B$5=1,"",B22)</f>
        <v>Hearing Aid 1</v>
      </c>
      <c r="C23" s="84">
        <f>IF(B5=2,D19,0)</f>
        <v>2362.5</v>
      </c>
      <c r="D23" s="82"/>
      <c r="E23" s="58"/>
      <c r="F23" s="58"/>
    </row>
    <row r="24" spans="1:9" ht="18" customHeight="1">
      <c r="B24" s="67" t="str" cm="1">
        <f t="array" ref="B24">IF($B$3="","",_xlfn.XLOOKUP($B$3&amp;$B$7,haList!$A:$A&amp;haList!$I:$I,haList!$R:$R))</f>
        <v>Standard Charger</v>
      </c>
      <c r="C24" s="58" cm="1">
        <f t="array" ref="C24">IF($B$24="","",_xlfn.XLOOKUP($B$3&amp;$B$7,haList!$A:$A&amp;haList!$I:$I,haList!$S:$S))</f>
        <v>325</v>
      </c>
      <c r="E24" s="58"/>
      <c r="F24" s="58"/>
      <c r="I24" s="83"/>
    </row>
    <row r="25" spans="1:9" ht="18" customHeight="1">
      <c r="B25" s="67" cm="1">
        <f t="array" ref="B25">IF($B$3="","",_xlfn.XLOOKUP($B$3&amp;$B$7,haList!$A:$A&amp;haList!$I:$I,haList!$T:$T))</f>
        <v>0</v>
      </c>
      <c r="C25" s="58" cm="1">
        <f t="array" ref="C25">IF($B$24="","",_xlfn.XLOOKUP($B$3&amp;$B$7,haList!$A:$A&amp;haList!$I:$I,haList!$U:$U))</f>
        <v>0</v>
      </c>
      <c r="D25" s="85"/>
      <c r="F25" s="58"/>
      <c r="I25" s="83"/>
    </row>
    <row r="26" spans="1:9" ht="18" customHeight="1">
      <c r="B26" s="67">
        <f>IF($B$5=1,"",B25)</f>
        <v>0</v>
      </c>
      <c r="C26" s="58">
        <f>IF(B5=2,C25,0)</f>
        <v>0</v>
      </c>
      <c r="D26" s="85"/>
      <c r="F26" s="58"/>
    </row>
    <row r="27" spans="1:9" ht="18" customHeight="1">
      <c r="B27" s="67" t="s">
        <v>4</v>
      </c>
      <c r="C27" s="83">
        <f>C22+C23+C24+C25+C26</f>
        <v>5050</v>
      </c>
      <c r="D27" s="67"/>
      <c r="E27" s="67"/>
      <c r="F27" s="58"/>
    </row>
    <row r="28" spans="1:9" ht="18" customHeight="1">
      <c r="B28" s="67" t="str" cm="1">
        <f t="array" ref="B28">IF($B$3="","",IF(_xlfn.XLOOKUP($B$3&amp;$B$7,haList!$A:$A&amp;haList!$I:$I,haList!$Q:$Q)=1,"PA Fitting Fee","(do not charge a PA Fitting Fee)"))</f>
        <v>PA Fitting Fee</v>
      </c>
      <c r="C28" s="86" cm="1">
        <f t="array" ref="C28">IF($B$3="","",IF(_xlfn.XLOOKUP($B$3&amp;$B$7,haList!$A:$A&amp;haList!$I:$I,haList!$Q:$Q)=1,400,""))</f>
        <v>400</v>
      </c>
      <c r="D28" s="67"/>
      <c r="E28" s="67"/>
      <c r="G28" s="66" t="str">
        <f>IF(B7="Anthem BCBS","&lt;---Needs to be on a separate invoice.  Private Pay only!","")</f>
        <v/>
      </c>
    </row>
    <row r="29" spans="1:9" ht="18" customHeight="1">
      <c r="B29" s="87" t="s">
        <v>5</v>
      </c>
      <c r="C29" s="88">
        <f>C27+C28</f>
        <v>5450</v>
      </c>
      <c r="D29" s="87"/>
      <c r="E29" s="87"/>
      <c r="F29" s="59"/>
      <c r="H29" s="58"/>
    </row>
    <row r="30" spans="1:9" ht="18" customHeight="1">
      <c r="A30" s="129"/>
      <c r="B30" s="129"/>
      <c r="C30" s="129"/>
      <c r="D30" s="87"/>
      <c r="E30" s="87"/>
      <c r="F30" s="59"/>
    </row>
    <row r="31" spans="1:9" ht="18" customHeight="1"/>
    <row r="32" spans="1:9" ht="18" customHeight="1" thickBot="1">
      <c r="A32" s="69"/>
      <c r="B32" s="89" t="s">
        <v>6</v>
      </c>
    </row>
    <row r="33" spans="1:6" ht="18" customHeight="1" thickBot="1">
      <c r="A33" s="90"/>
      <c r="B33" s="60" t="s">
        <v>65</v>
      </c>
      <c r="C33" s="58">
        <f>C29</f>
        <v>5450</v>
      </c>
    </row>
    <row r="34" spans="1:6" ht="18" customHeight="1" thickBot="1">
      <c r="A34" s="87"/>
      <c r="B34" s="67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8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545</v>
      </c>
      <c r="D34" s="58"/>
      <c r="F34" s="58"/>
    </row>
    <row r="35" spans="1:6" ht="18" customHeight="1" thickBot="1">
      <c r="A35" s="67"/>
      <c r="B35" s="67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1">
        <f>C33-C34</f>
        <v>4905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143" sqref="L143:L146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28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20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8" t="s">
        <v>501</v>
      </c>
      <c r="B2" s="47" t="s">
        <v>508</v>
      </c>
      <c r="C2" s="53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115">
        <v>3100</v>
      </c>
      <c r="I2" s="64" t="s">
        <v>597</v>
      </c>
      <c r="J2" s="2">
        <v>0</v>
      </c>
      <c r="K2" s="2">
        <f>HearingAids[[#This Row],[HAListPrice]]-HearingAids[[#This Row],[Discount Amount 2]]</f>
        <v>1550</v>
      </c>
      <c r="L2" s="115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>
      <c r="A3" s="38" t="s">
        <v>500</v>
      </c>
      <c r="B3" s="47" t="s">
        <v>507</v>
      </c>
      <c r="C3" s="53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115">
        <v>3500</v>
      </c>
      <c r="I3" s="64" t="s">
        <v>597</v>
      </c>
      <c r="J3" s="2">
        <v>0</v>
      </c>
      <c r="K3" s="2">
        <f>HearingAids[[#This Row],[HAListPrice]]-HearingAids[[#This Row],[Discount Amount 2]]</f>
        <v>1650</v>
      </c>
      <c r="L3" s="115"/>
      <c r="M3" s="2"/>
      <c r="N3" s="2"/>
      <c r="O3" s="2"/>
      <c r="P3" s="40"/>
      <c r="Q3" s="41">
        <v>1</v>
      </c>
      <c r="R3" s="121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3">
        <f>(HearingAids[[#This Row],[haMSRP]]*2)+HearingAids[[#This Row],[chargerPrice]]</f>
        <v>6383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666.5</v>
      </c>
      <c r="G4" s="39">
        <f>HearingAids[[#This Row],[haMSRP]]-HearingAids[[#This Row],[Discount Amount 1]]</f>
        <v>2362.5</v>
      </c>
      <c r="H4" s="115">
        <v>5050</v>
      </c>
      <c r="I4" s="64" t="s">
        <v>597</v>
      </c>
      <c r="J4" s="2">
        <v>0</v>
      </c>
      <c r="K4" s="2">
        <f>HearingAids[[#This Row],[HAListPrice]]-HearingAids[[#This Row],[Discount Amount 2]]</f>
        <v>2362.5</v>
      </c>
      <c r="L4" s="115"/>
      <c r="M4" s="2"/>
      <c r="N4" s="2"/>
      <c r="O4" s="2"/>
      <c r="P4" s="40"/>
      <c r="Q4" s="41">
        <v>1</v>
      </c>
      <c r="R4" s="40" t="s">
        <v>13</v>
      </c>
      <c r="S4" s="40">
        <v>325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5">
        <f>(HearingAids[[#This Row],[haMSRP]]*2)+HearingAids[[#This Row],[chargerPrice]]</f>
        <v>11963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1256.5</v>
      </c>
      <c r="G5" s="39">
        <f>HearingAids[[#This Row],[haMSRP]]-HearingAids[[#This Row],[Discount Amount 1]]</f>
        <v>4562.5</v>
      </c>
      <c r="H5" s="116">
        <v>9450</v>
      </c>
      <c r="I5" s="64" t="s">
        <v>597</v>
      </c>
      <c r="J5" s="2">
        <v>0</v>
      </c>
      <c r="K5" s="2">
        <f>HearingAids[[#This Row],[HAListPrice]]-HearingAids[[#This Row],[Discount Amount 2]]</f>
        <v>4562.5</v>
      </c>
      <c r="L5" s="116"/>
      <c r="M5" s="2"/>
      <c r="N5" s="2"/>
      <c r="O5" s="2"/>
      <c r="P5" s="40"/>
      <c r="Q5" s="41">
        <v>1</v>
      </c>
      <c r="R5" s="40" t="s">
        <v>13</v>
      </c>
      <c r="S5" s="40">
        <v>325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497</v>
      </c>
      <c r="B6" s="46" t="s">
        <v>505</v>
      </c>
      <c r="C6" s="55">
        <f>(HearingAids[[#This Row],[haMSRP]]*2)+HearingAids[[#This Row],[chargerPrice]]</f>
        <v>9683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1316.5</v>
      </c>
      <c r="G6" s="39">
        <f>HearingAids[[#This Row],[haMSRP]]-HearingAids[[#This Row],[Discount Amount 1]]</f>
        <v>3362.5</v>
      </c>
      <c r="H6" s="116">
        <v>7050</v>
      </c>
      <c r="I6" s="64" t="s">
        <v>597</v>
      </c>
      <c r="J6" s="2">
        <v>0</v>
      </c>
      <c r="K6" s="2">
        <f>HearingAids[[#This Row],[HAListPrice]]-HearingAids[[#This Row],[Discount Amount 2]]</f>
        <v>3362.5</v>
      </c>
      <c r="L6" s="116"/>
      <c r="M6" s="2"/>
      <c r="N6" s="2"/>
      <c r="O6" s="2"/>
      <c r="P6" s="40"/>
      <c r="Q6" s="41">
        <v>1</v>
      </c>
      <c r="R6" s="40" t="s">
        <v>13</v>
      </c>
      <c r="S6" s="40">
        <v>325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498</v>
      </c>
      <c r="B7" s="46" t="s">
        <v>504</v>
      </c>
      <c r="C7" s="55">
        <f>(HearingAids[[#This Row],[haMSRP]]*2)+HearingAids[[#This Row],[chargerPrice]]</f>
        <v>7703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-323.5</v>
      </c>
      <c r="G7" s="39">
        <f>HearingAids[[#This Row],[haMSRP]]-HearingAids[[#This Row],[Discount Amount 1]]</f>
        <v>4012.5</v>
      </c>
      <c r="H7" s="116">
        <v>8350</v>
      </c>
      <c r="I7" s="64" t="s">
        <v>597</v>
      </c>
      <c r="J7" s="2">
        <v>0</v>
      </c>
      <c r="K7" s="2">
        <f>HearingAids[[#This Row],[HAListPrice]]-HearingAids[[#This Row],[Discount Amount 2]]</f>
        <v>4012.5</v>
      </c>
      <c r="L7" s="116"/>
      <c r="M7" s="2"/>
      <c r="N7" s="2"/>
      <c r="O7" s="2"/>
      <c r="P7" s="40"/>
      <c r="Q7" s="41">
        <v>1</v>
      </c>
      <c r="R7" s="40" t="s">
        <v>13</v>
      </c>
      <c r="S7" s="40">
        <v>325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6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115">
        <v>3100</v>
      </c>
      <c r="I8" s="64" t="s">
        <v>597</v>
      </c>
      <c r="J8" s="2">
        <v>0</v>
      </c>
      <c r="K8" s="2">
        <f>HearingAids[[#This Row],[HAListPrice]]-HearingAids[[#This Row],[Discount Amount 2]]</f>
        <v>1550</v>
      </c>
      <c r="L8" s="115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7" t="s">
        <v>509</v>
      </c>
      <c r="C9" s="53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115">
        <v>3100</v>
      </c>
      <c r="I9" s="64" t="s">
        <v>597</v>
      </c>
      <c r="J9" s="2">
        <v>0</v>
      </c>
      <c r="K9" s="2">
        <f>HearingAids[[#This Row],[HAListPrice]]-HearingAids[[#This Row],[Discount Amount 2]]</f>
        <v>1550</v>
      </c>
      <c r="L9" s="115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7" t="s">
        <v>521</v>
      </c>
      <c r="C10" s="53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115">
        <v>3100</v>
      </c>
      <c r="I10" s="64" t="s">
        <v>597</v>
      </c>
      <c r="J10" s="2">
        <v>0</v>
      </c>
      <c r="K10" s="2">
        <f>HearingAids[[#This Row],[HAListPrice]]-HearingAids[[#This Row],[Discount Amount 2]]</f>
        <v>1550</v>
      </c>
      <c r="L10" s="115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7" t="s">
        <v>522</v>
      </c>
      <c r="C11" s="53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115">
        <v>3100</v>
      </c>
      <c r="I11" s="64" t="s">
        <v>597</v>
      </c>
      <c r="J11" s="2">
        <v>0</v>
      </c>
      <c r="K11" s="2">
        <f>HearingAids[[#This Row],[HAListPrice]]-HearingAids[[#This Row],[Discount Amount 2]]</f>
        <v>1550</v>
      </c>
      <c r="L11" s="115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7" t="s">
        <v>523</v>
      </c>
      <c r="C12" s="53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115">
        <v>3100</v>
      </c>
      <c r="I12" s="64" t="s">
        <v>597</v>
      </c>
      <c r="J12" s="2">
        <v>0</v>
      </c>
      <c r="K12" s="2">
        <f>HearingAids[[#This Row],[HAListPrice]]-HearingAids[[#This Row],[Discount Amount 2]]</f>
        <v>1550</v>
      </c>
      <c r="L12" s="115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7" t="s">
        <v>524</v>
      </c>
      <c r="C13" s="53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115">
        <v>3100</v>
      </c>
      <c r="I13" s="64" t="s">
        <v>597</v>
      </c>
      <c r="J13" s="2">
        <v>0</v>
      </c>
      <c r="K13" s="2">
        <f>HearingAids[[#This Row],[HAListPrice]]-HearingAids[[#This Row],[Discount Amount 2]]</f>
        <v>1550</v>
      </c>
      <c r="L13" s="115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7" t="s">
        <v>515</v>
      </c>
      <c r="C14" s="53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115">
        <v>3100</v>
      </c>
      <c r="I14" s="64" t="s">
        <v>597</v>
      </c>
      <c r="J14" s="2">
        <v>0</v>
      </c>
      <c r="K14" s="2">
        <f>HearingAids[[#This Row],[HAListPrice]]-HearingAids[[#This Row],[Discount Amount 2]]</f>
        <v>1550</v>
      </c>
      <c r="L14" s="115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7" t="s">
        <v>518</v>
      </c>
      <c r="C15" s="53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115">
        <v>3100</v>
      </c>
      <c r="I15" s="64" t="s">
        <v>597</v>
      </c>
      <c r="J15" s="2">
        <v>0</v>
      </c>
      <c r="K15" s="2">
        <f>HearingAids[[#This Row],[HAListPrice]]-HearingAids[[#This Row],[Discount Amount 2]]</f>
        <v>1550</v>
      </c>
      <c r="L15" s="115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6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115">
        <v>3500</v>
      </c>
      <c r="I16" s="64" t="s">
        <v>597</v>
      </c>
      <c r="J16" s="2">
        <v>0</v>
      </c>
      <c r="K16" s="2">
        <f>HearingAids[[#This Row],[HAListPrice]]-HearingAids[[#This Row],[Discount Amount 2]]</f>
        <v>1750</v>
      </c>
      <c r="L16" s="115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6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115">
        <v>3500</v>
      </c>
      <c r="I17" s="64" t="s">
        <v>597</v>
      </c>
      <c r="J17" s="2">
        <v>0</v>
      </c>
      <c r="K17" s="2">
        <f>HearingAids[[#This Row],[HAListPrice]]-HearingAids[[#This Row],[Discount Amount 2]]</f>
        <v>1650</v>
      </c>
      <c r="L17" s="115"/>
      <c r="M17" s="2"/>
      <c r="N17" s="2"/>
      <c r="O17" s="2"/>
      <c r="P17" s="40"/>
      <c r="Q17" s="23">
        <v>1</v>
      </c>
      <c r="R17" s="1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7" t="s">
        <v>510</v>
      </c>
      <c r="C18" s="53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115">
        <v>3500</v>
      </c>
      <c r="I18" s="64" t="s">
        <v>597</v>
      </c>
      <c r="J18" s="2">
        <v>0</v>
      </c>
      <c r="K18" s="2">
        <f>HearingAids[[#This Row],[HAListPrice]]-HearingAids[[#This Row],[Discount Amount 2]]</f>
        <v>1750</v>
      </c>
      <c r="L18" s="115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7" t="s">
        <v>525</v>
      </c>
      <c r="C19" s="53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115">
        <v>3500</v>
      </c>
      <c r="I19" s="64" t="s">
        <v>597</v>
      </c>
      <c r="J19" s="2">
        <v>0</v>
      </c>
      <c r="K19" s="2">
        <f>HearingAids[[#This Row],[HAListPrice]]-HearingAids[[#This Row],[Discount Amount 2]]</f>
        <v>1750</v>
      </c>
      <c r="L19" s="115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7" t="s">
        <v>526</v>
      </c>
      <c r="C20" s="53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115">
        <v>3500</v>
      </c>
      <c r="I20" s="64" t="s">
        <v>597</v>
      </c>
      <c r="J20" s="2">
        <v>0</v>
      </c>
      <c r="K20" s="2">
        <f>HearingAids[[#This Row],[HAListPrice]]-HearingAids[[#This Row],[Discount Amount 2]]</f>
        <v>1750</v>
      </c>
      <c r="L20" s="115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7" t="s">
        <v>527</v>
      </c>
      <c r="C21" s="53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115">
        <v>3500</v>
      </c>
      <c r="I21" s="64" t="s">
        <v>597</v>
      </c>
      <c r="J21" s="2">
        <v>0</v>
      </c>
      <c r="K21" s="2">
        <f>HearingAids[[#This Row],[HAListPrice]]-HearingAids[[#This Row],[Discount Amount 2]]</f>
        <v>1750</v>
      </c>
      <c r="L21" s="115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7" t="s">
        <v>528</v>
      </c>
      <c r="C22" s="53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115">
        <v>3500</v>
      </c>
      <c r="I22" s="64" t="s">
        <v>597</v>
      </c>
      <c r="J22" s="2">
        <v>0</v>
      </c>
      <c r="K22" s="2">
        <f>HearingAids[[#This Row],[HAListPrice]]-HearingAids[[#This Row],[Discount Amount 2]]</f>
        <v>1750</v>
      </c>
      <c r="L22" s="115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7" t="s">
        <v>512</v>
      </c>
      <c r="C23" s="53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115">
        <v>3500</v>
      </c>
      <c r="I23" s="64" t="s">
        <v>597</v>
      </c>
      <c r="J23" s="2">
        <v>0</v>
      </c>
      <c r="K23" s="2">
        <f>HearingAids[[#This Row],[HAListPrice]]-HearingAids[[#This Row],[Discount Amount 2]]</f>
        <v>1750</v>
      </c>
      <c r="L23" s="115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7" t="s">
        <v>516</v>
      </c>
      <c r="C24" s="53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115">
        <v>3500</v>
      </c>
      <c r="I24" s="64" t="s">
        <v>597</v>
      </c>
      <c r="J24" s="2">
        <v>0</v>
      </c>
      <c r="K24" s="2">
        <f>HearingAids[[#This Row],[HAListPrice]]-HearingAids[[#This Row],[Discount Amount 2]]</f>
        <v>1750</v>
      </c>
      <c r="L24" s="115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7" t="s">
        <v>519</v>
      </c>
      <c r="C25" s="53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115">
        <v>3500</v>
      </c>
      <c r="I25" s="64" t="s">
        <v>597</v>
      </c>
      <c r="J25" s="2">
        <v>0</v>
      </c>
      <c r="K25" s="2">
        <f>HearingAids[[#This Row],[HAListPrice]]-HearingAids[[#This Row],[Discount Amount 2]]</f>
        <v>1750</v>
      </c>
      <c r="L25" s="115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6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604</v>
      </c>
      <c r="G26" s="39">
        <f>HearingAids[[#This Row],[haMSRP]]-HearingAids[[#This Row],[Discount Amount 1]]</f>
        <v>2425</v>
      </c>
      <c r="H26" s="115">
        <v>5050</v>
      </c>
      <c r="I26" s="64" t="s">
        <v>597</v>
      </c>
      <c r="J26" s="2">
        <v>0</v>
      </c>
      <c r="K26" s="2">
        <f>HearingAids[[#This Row],[HAListPrice]]-HearingAids[[#This Row],[Discount Amount 2]]</f>
        <v>2425</v>
      </c>
      <c r="L26" s="115"/>
      <c r="M26" s="2"/>
      <c r="N26" s="2"/>
      <c r="O26" s="2"/>
      <c r="P26" s="40"/>
      <c r="Q26" s="15">
        <v>1</v>
      </c>
      <c r="R26" s="123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7" t="s">
        <v>511</v>
      </c>
      <c r="C27" s="53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504</v>
      </c>
      <c r="G27" s="39">
        <f>HearingAids[[#This Row],[haMSRP]]-HearingAids[[#This Row],[Discount Amount 1]]</f>
        <v>2525</v>
      </c>
      <c r="H27" s="115">
        <v>5050</v>
      </c>
      <c r="I27" s="64" t="s">
        <v>597</v>
      </c>
      <c r="J27" s="2">
        <v>0</v>
      </c>
      <c r="K27" s="2">
        <f>HearingAids[[#This Row],[HAListPrice]]-HearingAids[[#This Row],[Discount Amount 2]]</f>
        <v>2525</v>
      </c>
      <c r="L27" s="115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7" t="s">
        <v>529</v>
      </c>
      <c r="C28" s="53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504</v>
      </c>
      <c r="G28" s="39">
        <f>HearingAids[[#This Row],[haMSRP]]-HearingAids[[#This Row],[Discount Amount 1]]</f>
        <v>2525</v>
      </c>
      <c r="H28" s="115">
        <v>5050</v>
      </c>
      <c r="I28" s="64" t="s">
        <v>597</v>
      </c>
      <c r="J28" s="2">
        <v>0</v>
      </c>
      <c r="K28" s="2">
        <f>HearingAids[[#This Row],[HAListPrice]]-HearingAids[[#This Row],[Discount Amount 2]]</f>
        <v>2525</v>
      </c>
      <c r="L28" s="115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7" t="s">
        <v>530</v>
      </c>
      <c r="C29" s="53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504</v>
      </c>
      <c r="G29" s="39">
        <f>HearingAids[[#This Row],[haMSRP]]-HearingAids[[#This Row],[Discount Amount 1]]</f>
        <v>2525</v>
      </c>
      <c r="H29" s="115">
        <v>5050</v>
      </c>
      <c r="I29" s="64" t="s">
        <v>597</v>
      </c>
      <c r="J29" s="2">
        <v>0</v>
      </c>
      <c r="K29" s="2">
        <f>HearingAids[[#This Row],[HAListPrice]]-HearingAids[[#This Row],[Discount Amount 2]]</f>
        <v>2525</v>
      </c>
      <c r="L29" s="115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7" t="s">
        <v>531</v>
      </c>
      <c r="C30" s="53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504</v>
      </c>
      <c r="G30" s="39">
        <f>HearingAids[[#This Row],[haMSRP]]-HearingAids[[#This Row],[Discount Amount 1]]</f>
        <v>2525</v>
      </c>
      <c r="H30" s="115">
        <v>5050</v>
      </c>
      <c r="I30" s="64" t="s">
        <v>597</v>
      </c>
      <c r="J30" s="2">
        <v>0</v>
      </c>
      <c r="K30" s="2">
        <f>HearingAids[[#This Row],[HAListPrice]]-HearingAids[[#This Row],[Discount Amount 2]]</f>
        <v>2525</v>
      </c>
      <c r="L30" s="115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7" t="s">
        <v>537</v>
      </c>
      <c r="C31" s="53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504</v>
      </c>
      <c r="G31" s="39">
        <f>HearingAids[[#This Row],[haMSRP]]-HearingAids[[#This Row],[Discount Amount 1]]</f>
        <v>2525</v>
      </c>
      <c r="H31" s="115">
        <v>5050</v>
      </c>
      <c r="I31" s="64" t="s">
        <v>597</v>
      </c>
      <c r="J31" s="2">
        <v>0</v>
      </c>
      <c r="K31" s="2">
        <f>HearingAids[[#This Row],[HAListPrice]]-HearingAids[[#This Row],[Discount Amount 2]]</f>
        <v>2525</v>
      </c>
      <c r="L31" s="115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7" t="s">
        <v>513</v>
      </c>
      <c r="C32" s="53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504</v>
      </c>
      <c r="G32" s="39">
        <f>HearingAids[[#This Row],[haMSRP]]-HearingAids[[#This Row],[Discount Amount 1]]</f>
        <v>2525</v>
      </c>
      <c r="H32" s="115">
        <v>5050</v>
      </c>
      <c r="I32" s="64" t="s">
        <v>597</v>
      </c>
      <c r="J32" s="2">
        <v>0</v>
      </c>
      <c r="K32" s="2">
        <f>HearingAids[[#This Row],[HAListPrice]]-HearingAids[[#This Row],[Discount Amount 2]]</f>
        <v>2525</v>
      </c>
      <c r="L32" s="115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7" t="s">
        <v>514</v>
      </c>
      <c r="C33" s="53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504</v>
      </c>
      <c r="G33" s="39">
        <f>HearingAids[[#This Row],[haMSRP]]-HearingAids[[#This Row],[Discount Amount 1]]</f>
        <v>2525</v>
      </c>
      <c r="H33" s="115">
        <v>5050</v>
      </c>
      <c r="I33" s="64" t="s">
        <v>597</v>
      </c>
      <c r="J33" s="2">
        <v>0</v>
      </c>
      <c r="K33" s="2">
        <f>HearingAids[[#This Row],[HAListPrice]]-HearingAids[[#This Row],[Discount Amount 2]]</f>
        <v>2525</v>
      </c>
      <c r="L33" s="115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7" t="s">
        <v>517</v>
      </c>
      <c r="C34" s="53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504</v>
      </c>
      <c r="G34" s="39">
        <f>HearingAids[[#This Row],[haMSRP]]-HearingAids[[#This Row],[Discount Amount 1]]</f>
        <v>2525</v>
      </c>
      <c r="H34" s="115">
        <v>5050</v>
      </c>
      <c r="I34" s="64" t="s">
        <v>597</v>
      </c>
      <c r="J34" s="2">
        <v>0</v>
      </c>
      <c r="K34" s="2">
        <f>HearingAids[[#This Row],[HAListPrice]]-HearingAids[[#This Row],[Discount Amount 2]]</f>
        <v>2525</v>
      </c>
      <c r="L34" s="115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38" t="s">
        <v>500</v>
      </c>
      <c r="B35" s="47" t="s">
        <v>507</v>
      </c>
      <c r="C35" s="53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117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117">
        <v>3390</v>
      </c>
      <c r="M35" s="2"/>
      <c r="N35" s="2"/>
      <c r="O35" s="2"/>
      <c r="P35" s="22"/>
      <c r="Q35" s="23">
        <v>1</v>
      </c>
      <c r="R35" s="1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>
      <c r="A36" s="3" t="s">
        <v>413</v>
      </c>
      <c r="B36" s="37" t="s">
        <v>416</v>
      </c>
      <c r="C36" s="54">
        <f>(HearingAids[[#This Row],[haMSRP]]*2)+HearingAids[[#This Row],[chargerPrice]]</f>
        <v>11963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1256.5</v>
      </c>
      <c r="G36" s="39">
        <f>HearingAids[[#This Row],[haMSRP]]-HearingAids[[#This Row],[Discount Amount 1]]</f>
        <v>4562.5</v>
      </c>
      <c r="H36" s="116">
        <v>9450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1380</v>
      </c>
      <c r="K36" s="2">
        <f>HearingAids[[#This Row],[HAListPrice]]-HearingAids[[#This Row],[Discount Amount 2]]</f>
        <v>3182.5</v>
      </c>
      <c r="L36" s="116">
        <v>6690</v>
      </c>
      <c r="M36" s="2"/>
      <c r="N36" s="2"/>
      <c r="O36" s="2"/>
      <c r="P36" s="2"/>
      <c r="Q36" s="15">
        <v>1</v>
      </c>
      <c r="R36" s="2" t="s">
        <v>13</v>
      </c>
      <c r="S36" s="40">
        <v>325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414</v>
      </c>
      <c r="B37" s="37" t="s">
        <v>417</v>
      </c>
      <c r="C37" s="54">
        <f>(HearingAids[[#This Row],[haMSRP]]*2)+HearingAids[[#This Row],[chargerPrice]]</f>
        <v>7703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326.5</v>
      </c>
      <c r="G37" s="39">
        <f>HearingAids[[#This Row],[haMSRP]]-HearingAids[[#This Row],[Discount Amount 1]]</f>
        <v>3362.5</v>
      </c>
      <c r="H37" s="116">
        <v>7050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1080</v>
      </c>
      <c r="K37" s="2">
        <f>HearingAids[[#This Row],[HAListPrice]]-HearingAids[[#This Row],[Discount Amount 2]]</f>
        <v>2282.5</v>
      </c>
      <c r="L37" s="116">
        <v>4890</v>
      </c>
      <c r="M37" s="2"/>
      <c r="N37" s="2"/>
      <c r="O37" s="2"/>
      <c r="P37" s="2"/>
      <c r="Q37" s="15">
        <v>1</v>
      </c>
      <c r="R37" s="2" t="s">
        <v>13</v>
      </c>
      <c r="S37" s="40">
        <v>325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415</v>
      </c>
      <c r="B38" s="37" t="s">
        <v>418</v>
      </c>
      <c r="C38" s="54">
        <f>(HearingAids[[#This Row],[haMSRP]]*2)+HearingAids[[#This Row],[chargerPrice]]</f>
        <v>9683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666.5</v>
      </c>
      <c r="G38" s="39">
        <f>HearingAids[[#This Row],[haMSRP]]-HearingAids[[#This Row],[Discount Amount 1]]</f>
        <v>4012.5</v>
      </c>
      <c r="H38" s="116">
        <v>8350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1330</v>
      </c>
      <c r="K38" s="2">
        <f>HearingAids[[#This Row],[HAListPrice]]-HearingAids[[#This Row],[Discount Amount 2]]</f>
        <v>2682.5</v>
      </c>
      <c r="L38" s="116">
        <v>5690</v>
      </c>
      <c r="M38" s="2"/>
      <c r="N38" s="2"/>
      <c r="O38" s="2"/>
      <c r="P38" s="2"/>
      <c r="Q38" s="15">
        <v>1</v>
      </c>
      <c r="R38" s="2" t="s">
        <v>13</v>
      </c>
      <c r="S38" s="40">
        <v>325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8" t="s">
        <v>496</v>
      </c>
      <c r="B39" s="46" t="s">
        <v>503</v>
      </c>
      <c r="C39" s="55">
        <f>(HearingAids[[#This Row],[haMSRP]]*2)+HearingAids[[#This Row],[chargerPrice]]</f>
        <v>11963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1256.5</v>
      </c>
      <c r="G39" s="39">
        <f>HearingAids[[#This Row],[haMSRP]]-HearingAids[[#This Row],[Discount Amount 1]]</f>
        <v>4562.5</v>
      </c>
      <c r="H39" s="116">
        <v>9450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4562.5</v>
      </c>
      <c r="L39" s="116">
        <v>9450</v>
      </c>
      <c r="M39" s="2"/>
      <c r="N39" s="2"/>
      <c r="O39" s="2"/>
      <c r="P39" s="2"/>
      <c r="Q39" s="15">
        <v>1</v>
      </c>
      <c r="R39" s="2" t="s">
        <v>13</v>
      </c>
      <c r="S39" s="40">
        <v>325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8" t="s">
        <v>498</v>
      </c>
      <c r="B40" s="46" t="s">
        <v>505</v>
      </c>
      <c r="C40" s="55">
        <f>(HearingAids[[#This Row],[haMSRP]]*2)+HearingAids[[#This Row],[chargerPrice]]</f>
        <v>7703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326.5</v>
      </c>
      <c r="G40" s="39">
        <f>HearingAids[[#This Row],[haMSRP]]-HearingAids[[#This Row],[Discount Amount 1]]</f>
        <v>3362.5</v>
      </c>
      <c r="H40" s="116">
        <v>7050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3362.5</v>
      </c>
      <c r="L40" s="116">
        <v>7050</v>
      </c>
      <c r="M40" s="2"/>
      <c r="N40" s="2"/>
      <c r="O40" s="2"/>
      <c r="P40" s="2"/>
      <c r="Q40" s="15">
        <v>1</v>
      </c>
      <c r="R40" s="2" t="s">
        <v>13</v>
      </c>
      <c r="S40" s="40">
        <v>325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8" t="s">
        <v>497</v>
      </c>
      <c r="B41" s="46" t="s">
        <v>504</v>
      </c>
      <c r="C41" s="55">
        <f>(HearingAids[[#This Row],[haMSRP]]*2)+HearingAids[[#This Row],[chargerPrice]]</f>
        <v>9683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666.5</v>
      </c>
      <c r="G41" s="39">
        <f>HearingAids[[#This Row],[haMSRP]]-HearingAids[[#This Row],[Discount Amount 1]]</f>
        <v>4012.5</v>
      </c>
      <c r="H41" s="116">
        <v>8350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4012.5</v>
      </c>
      <c r="L41" s="116">
        <v>8350</v>
      </c>
      <c r="M41" s="2"/>
      <c r="N41" s="2"/>
      <c r="O41" s="2"/>
      <c r="P41" s="2"/>
      <c r="Q41" s="15">
        <v>1</v>
      </c>
      <c r="R41" s="2" t="s">
        <v>13</v>
      </c>
      <c r="S41" s="40">
        <v>325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3" t="s">
        <v>51</v>
      </c>
      <c r="B42" s="47" t="s">
        <v>520</v>
      </c>
      <c r="C42" s="53">
        <f>(HearingAids[[#This Row],[haMSRP]]*2)+HearingAids[[#This Row],[chargerPrice]]</f>
        <v>11638</v>
      </c>
      <c r="D42" s="39">
        <v>5819</v>
      </c>
      <c r="E42" s="52" t="s">
        <v>538</v>
      </c>
      <c r="F42" s="39">
        <f>HearingAids[[#This Row],[haMSRP]]-((HearingAids[[#This Row],[ListPriceBinural]]-HearingAids[[#This Row],[chargerPrice]])/2)</f>
        <v>1094</v>
      </c>
      <c r="G42" s="39">
        <f>HearingAids[[#This Row],[haMSRP]]-HearingAids[[#This Row],[Discount Amount 1]]</f>
        <v>4725</v>
      </c>
      <c r="H42" s="116">
        <v>9450</v>
      </c>
      <c r="I42" s="45" t="s">
        <v>177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4725</v>
      </c>
      <c r="L42" s="116">
        <v>9450</v>
      </c>
      <c r="M42" s="2"/>
      <c r="N42" s="2"/>
      <c r="O42" s="2"/>
      <c r="P42" s="40"/>
      <c r="Q42" s="15">
        <v>1</v>
      </c>
      <c r="R42" s="2" t="s">
        <v>16</v>
      </c>
      <c r="S42" s="2">
        <v>0</v>
      </c>
      <c r="T42" s="10" t="s">
        <v>10</v>
      </c>
      <c r="U42" s="7">
        <v>0</v>
      </c>
      <c r="V42" s="12" t="s">
        <v>11</v>
      </c>
      <c r="Y42" s="25"/>
      <c r="Z42" s="25"/>
      <c r="AA42" s="25"/>
      <c r="AB42"/>
      <c r="AC42"/>
      <c r="AD42"/>
      <c r="AE42"/>
    </row>
    <row r="43" spans="1:31" ht="12.75">
      <c r="A43" s="3" t="s">
        <v>52</v>
      </c>
      <c r="B43" s="47" t="s">
        <v>532</v>
      </c>
      <c r="C43" s="53">
        <f>(HearingAids[[#This Row],[haMSRP]]*2)+HearingAids[[#This Row],[chargerPrice]]</f>
        <v>11638</v>
      </c>
      <c r="D43" s="39">
        <v>5819</v>
      </c>
      <c r="E43" s="52" t="s">
        <v>538</v>
      </c>
      <c r="F43" s="39">
        <f>HearingAids[[#This Row],[haMSRP]]-((HearingAids[[#This Row],[ListPriceBinural]]-HearingAids[[#This Row],[chargerPrice]])/2)</f>
        <v>1094</v>
      </c>
      <c r="G43" s="39">
        <f>HearingAids[[#This Row],[haMSRP]]-HearingAids[[#This Row],[Discount Amount 1]]</f>
        <v>4725</v>
      </c>
      <c r="H43" s="116">
        <v>9450</v>
      </c>
      <c r="I43" s="45" t="s">
        <v>177</v>
      </c>
      <c r="J43" s="2">
        <f>(HearingAids[[#This Row],[haMSRP]]-HearingAids[[#This Row],[Discount Amount 1]])-(HearingAids[[#This Row],[haNetPriceBinural]]-HearingAids[[#This Row],[chargerPrice]])/2</f>
        <v>0</v>
      </c>
      <c r="K43" s="2">
        <f>HearingAids[[#This Row],[HAListPrice]]-HearingAids[[#This Row],[Discount Amount 2]]</f>
        <v>4725</v>
      </c>
      <c r="L43" s="116">
        <v>9450</v>
      </c>
      <c r="M43" s="2"/>
      <c r="N43" s="2"/>
      <c r="O43" s="2"/>
      <c r="P43" s="40"/>
      <c r="Q43" s="15">
        <v>1</v>
      </c>
      <c r="R43" s="2" t="s">
        <v>16</v>
      </c>
      <c r="S43" s="2">
        <v>0</v>
      </c>
      <c r="T43" s="10" t="s">
        <v>10</v>
      </c>
      <c r="U43" s="7">
        <v>0</v>
      </c>
      <c r="V43" s="12" t="s">
        <v>11</v>
      </c>
      <c r="Y43" s="25"/>
      <c r="Z43" s="25"/>
      <c r="AA43" s="25"/>
      <c r="AB43"/>
      <c r="AC43"/>
      <c r="AD43"/>
      <c r="AE43"/>
    </row>
    <row r="44" spans="1:31" ht="12.75">
      <c r="A44" s="3" t="s">
        <v>53</v>
      </c>
      <c r="B44" s="47" t="s">
        <v>533</v>
      </c>
      <c r="C44" s="53">
        <f>(HearingAids[[#This Row],[haMSRP]]*2)+HearingAids[[#This Row],[chargerPrice]]</f>
        <v>7378</v>
      </c>
      <c r="D44" s="39">
        <v>3689</v>
      </c>
      <c r="E44" s="52" t="s">
        <v>538</v>
      </c>
      <c r="F44" s="39">
        <f>HearingAids[[#This Row],[haMSRP]]-((HearingAids[[#This Row],[ListPriceBinural]]-HearingAids[[#This Row],[chargerPrice]])/2)</f>
        <v>164</v>
      </c>
      <c r="G44" s="39">
        <f>HearingAids[[#This Row],[haMSRP]]-HearingAids[[#This Row],[Discount Amount 1]]</f>
        <v>3525</v>
      </c>
      <c r="H44" s="116">
        <v>7050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3525</v>
      </c>
      <c r="L44" s="116">
        <v>7050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>
      <c r="A45" s="3" t="s">
        <v>54</v>
      </c>
      <c r="B45" s="47" t="s">
        <v>534</v>
      </c>
      <c r="C45" s="53">
        <f>(HearingAids[[#This Row],[haMSRP]]*2)+HearingAids[[#This Row],[chargerPrice]]</f>
        <v>7378</v>
      </c>
      <c r="D45" s="39">
        <v>3689</v>
      </c>
      <c r="E45" s="52" t="s">
        <v>538</v>
      </c>
      <c r="F45" s="39">
        <f>HearingAids[[#This Row],[haMSRP]]-((HearingAids[[#This Row],[ListPriceBinural]]-HearingAids[[#This Row],[chargerPrice]])/2)</f>
        <v>164</v>
      </c>
      <c r="G45" s="39">
        <f>HearingAids[[#This Row],[haMSRP]]-HearingAids[[#This Row],[Discount Amount 1]]</f>
        <v>3525</v>
      </c>
      <c r="H45" s="116">
        <v>7050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3525</v>
      </c>
      <c r="L45" s="116">
        <v>7050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>
      <c r="A46" s="3" t="s">
        <v>55</v>
      </c>
      <c r="B46" s="47" t="s">
        <v>535</v>
      </c>
      <c r="C46" s="53">
        <f>(HearingAids[[#This Row],[haMSRP]]*2)+HearingAids[[#This Row],[chargerPrice]]</f>
        <v>9358</v>
      </c>
      <c r="D46" s="39">
        <v>4679</v>
      </c>
      <c r="E46" s="52" t="s">
        <v>538</v>
      </c>
      <c r="F46" s="39">
        <f>HearingAids[[#This Row],[haMSRP]]-((HearingAids[[#This Row],[ListPriceBinural]]-HearingAids[[#This Row],[chargerPrice]])/2)</f>
        <v>504</v>
      </c>
      <c r="G46" s="39">
        <f>HearingAids[[#This Row],[haMSRP]]-HearingAids[[#This Row],[Discount Amount 1]]</f>
        <v>4175</v>
      </c>
      <c r="H46" s="116">
        <v>8350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4175</v>
      </c>
      <c r="L46" s="116">
        <v>8350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>
      <c r="A47" s="3" t="s">
        <v>56</v>
      </c>
      <c r="B47" s="47" t="s">
        <v>536</v>
      </c>
      <c r="C47" s="53">
        <f>(HearingAids[[#This Row],[haMSRP]]*2)+HearingAids[[#This Row],[chargerPrice]]</f>
        <v>9358</v>
      </c>
      <c r="D47" s="39">
        <v>4679</v>
      </c>
      <c r="E47" s="52" t="s">
        <v>538</v>
      </c>
      <c r="F47" s="39">
        <f>HearingAids[[#This Row],[haMSRP]]-((HearingAids[[#This Row],[ListPriceBinural]]-HearingAids[[#This Row],[chargerPrice]])/2)</f>
        <v>504</v>
      </c>
      <c r="G47" s="39">
        <f>HearingAids[[#This Row],[haMSRP]]-HearingAids[[#This Row],[Discount Amount 1]]</f>
        <v>4175</v>
      </c>
      <c r="H47" s="116">
        <v>8350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4175</v>
      </c>
      <c r="L47" s="116">
        <v>8350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>
      <c r="A48" s="38" t="s">
        <v>501</v>
      </c>
      <c r="B48" s="47" t="s">
        <v>508</v>
      </c>
      <c r="C48" s="53">
        <f>(HearingAids[[#This Row],[haMSRP]]*2)+HearingAids[[#This Row],[chargerPrice]]</f>
        <v>3718</v>
      </c>
      <c r="D48" s="39">
        <v>1859</v>
      </c>
      <c r="E48" s="52" t="s">
        <v>538</v>
      </c>
      <c r="F48" s="39">
        <f>HearingAids[[#This Row],[haMSRP]]-((HearingAids[[#This Row],[ListPriceBinural]]-HearingAids[[#This Row],[chargerPrice]])/2)</f>
        <v>309</v>
      </c>
      <c r="G48" s="39">
        <f>HearingAids[[#This Row],[haMSRP]]-HearingAids[[#This Row],[Discount Amount 1]]</f>
        <v>1550</v>
      </c>
      <c r="H48" s="115">
        <v>3100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1550</v>
      </c>
      <c r="L48" s="115">
        <v>3100</v>
      </c>
      <c r="M48" s="40"/>
      <c r="N48" s="40"/>
      <c r="O48" s="40"/>
      <c r="P48" s="40"/>
      <c r="Q48" s="41">
        <v>1</v>
      </c>
      <c r="R48" s="2" t="s">
        <v>16</v>
      </c>
      <c r="S48" s="40">
        <v>0</v>
      </c>
      <c r="T48" s="43"/>
      <c r="U48" s="43"/>
      <c r="V48" s="39"/>
      <c r="Y48" s="25"/>
      <c r="Z48" s="25"/>
      <c r="AA48" s="25"/>
      <c r="AB48"/>
      <c r="AC48"/>
      <c r="AD48"/>
      <c r="AE48"/>
    </row>
    <row r="49" spans="1:32" ht="12.75">
      <c r="A49" s="38" t="s">
        <v>500</v>
      </c>
      <c r="B49" s="47" t="s">
        <v>507</v>
      </c>
      <c r="C49" s="53">
        <f>(HearingAids[[#This Row],[haMSRP]]*2)+HearingAids[[#This Row],[chargerPrice]]</f>
        <v>4878</v>
      </c>
      <c r="D49" s="39">
        <v>2339</v>
      </c>
      <c r="E49" s="52" t="s">
        <v>538</v>
      </c>
      <c r="F49" s="39">
        <f>HearingAids[[#This Row],[haMSRP]]-((HearingAids[[#This Row],[ListPriceBinural]]-HearingAids[[#This Row],[chargerPrice]])/2)</f>
        <v>689</v>
      </c>
      <c r="G49" s="39">
        <f>HearingAids[[#This Row],[haMSRP]]-HearingAids[[#This Row],[Discount Amount 1]]</f>
        <v>1650</v>
      </c>
      <c r="H49" s="117">
        <v>3500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1650</v>
      </c>
      <c r="L49" s="117">
        <v>3500</v>
      </c>
      <c r="M49" s="22"/>
      <c r="N49" s="22"/>
      <c r="O49" s="22"/>
      <c r="P49" s="40"/>
      <c r="Q49" s="41">
        <v>1</v>
      </c>
      <c r="R49" s="121" t="s">
        <v>9</v>
      </c>
      <c r="S49" s="40">
        <v>200</v>
      </c>
      <c r="T49" s="43"/>
      <c r="U49" s="43"/>
      <c r="V49" s="39"/>
      <c r="W49" s="2"/>
      <c r="Y49" s="25"/>
      <c r="Z49" s="25"/>
      <c r="AA49" s="25"/>
      <c r="AB49"/>
      <c r="AC49"/>
      <c r="AD49"/>
      <c r="AE49"/>
    </row>
    <row r="50" spans="1:32" ht="12.75">
      <c r="A50" s="38" t="s">
        <v>496</v>
      </c>
      <c r="B50" s="46" t="s">
        <v>503</v>
      </c>
      <c r="C50" s="55">
        <f>(HearingAids[[#This Row],[haMSRP]]*2)+HearingAids[[#This Row],[chargerPrice]]</f>
        <v>11963</v>
      </c>
      <c r="D50" s="39">
        <v>5819</v>
      </c>
      <c r="E50" s="52" t="s">
        <v>538</v>
      </c>
      <c r="F50" s="39">
        <f>HearingAids[[#This Row],[haMSRP]]-((HearingAids[[#This Row],[ListPriceBinural]]-HearingAids[[#This Row],[chargerPrice]])/2)</f>
        <v>1256.5</v>
      </c>
      <c r="G50" s="39">
        <f>HearingAids[[#This Row],[haMSRP]]-HearingAids[[#This Row],[Discount Amount 1]]</f>
        <v>4562.5</v>
      </c>
      <c r="H50" s="116">
        <v>9450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4562.5</v>
      </c>
      <c r="L50" s="116">
        <v>9450</v>
      </c>
      <c r="M50" s="2"/>
      <c r="N50" s="2"/>
      <c r="O50" s="2"/>
      <c r="P50" s="40"/>
      <c r="Q50" s="41">
        <v>1</v>
      </c>
      <c r="R50" s="40" t="s">
        <v>13</v>
      </c>
      <c r="S50" s="40">
        <v>325</v>
      </c>
      <c r="T50" s="42" t="s">
        <v>14</v>
      </c>
      <c r="U50" s="43">
        <v>0</v>
      </c>
      <c r="V50" s="39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8" t="s">
        <v>499</v>
      </c>
      <c r="B51" s="47" t="s">
        <v>506</v>
      </c>
      <c r="C51" s="53">
        <f>(HearingAids[[#This Row],[haMSRP]]*2)+HearingAids[[#This Row],[chargerPrice]]</f>
        <v>6258</v>
      </c>
      <c r="D51" s="39">
        <v>3029</v>
      </c>
      <c r="E51" s="52" t="s">
        <v>538</v>
      </c>
      <c r="F51" s="39">
        <f>HearingAids[[#This Row],[haMSRP]]-((HearingAids[[#This Row],[ListPriceBinural]]-HearingAids[[#This Row],[chargerPrice]])/2)</f>
        <v>604</v>
      </c>
      <c r="G51" s="39">
        <f>HearingAids[[#This Row],[haMSRP]]-HearingAids[[#This Row],[Discount Amount 1]]</f>
        <v>2425</v>
      </c>
      <c r="H51" s="115">
        <v>5050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2425</v>
      </c>
      <c r="L51" s="115">
        <v>5050</v>
      </c>
      <c r="M51" s="40"/>
      <c r="N51" s="40"/>
      <c r="O51" s="40"/>
      <c r="P51" s="40"/>
      <c r="Q51" s="41">
        <v>1</v>
      </c>
      <c r="R51" s="124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>
      <c r="A52" s="38" t="s">
        <v>497</v>
      </c>
      <c r="B52" s="46" t="s">
        <v>505</v>
      </c>
      <c r="C52" s="55">
        <f>(HearingAids[[#This Row],[haMSRP]]*2)+HearingAids[[#This Row],[chargerPrice]]</f>
        <v>9683</v>
      </c>
      <c r="D52" s="39">
        <v>4679</v>
      </c>
      <c r="E52" s="52" t="s">
        <v>538</v>
      </c>
      <c r="F52" s="39">
        <f>HearingAids[[#This Row],[haMSRP]]-((HearingAids[[#This Row],[ListPriceBinural]]-HearingAids[[#This Row],[chargerPrice]])/2)</f>
        <v>1316.5</v>
      </c>
      <c r="G52" s="39">
        <f>HearingAids[[#This Row],[haMSRP]]-HearingAids[[#This Row],[Discount Amount 1]]</f>
        <v>3362.5</v>
      </c>
      <c r="H52" s="116">
        <v>7050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3362.5</v>
      </c>
      <c r="L52" s="116">
        <v>7050</v>
      </c>
      <c r="M52" s="2"/>
      <c r="N52" s="2"/>
      <c r="O52" s="2"/>
      <c r="P52" s="40"/>
      <c r="Q52" s="41">
        <v>1</v>
      </c>
      <c r="R52" s="40" t="s">
        <v>13</v>
      </c>
      <c r="S52" s="40">
        <v>325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8" t="s">
        <v>498</v>
      </c>
      <c r="B53" s="46" t="s">
        <v>504</v>
      </c>
      <c r="C53" s="55">
        <f>(HearingAids[[#This Row],[haMSRP]]*2)+HearingAids[[#This Row],[chargerPrice]]</f>
        <v>7703</v>
      </c>
      <c r="D53" s="39">
        <v>3689</v>
      </c>
      <c r="E53" s="52" t="s">
        <v>538</v>
      </c>
      <c r="F53" s="39">
        <f>HearingAids[[#This Row],[haMSRP]]-((HearingAids[[#This Row],[ListPriceBinural]]-HearingAids[[#This Row],[chargerPrice]])/2)</f>
        <v>-323.5</v>
      </c>
      <c r="G53" s="39">
        <f>HearingAids[[#This Row],[haMSRP]]-HearingAids[[#This Row],[Discount Amount 1]]</f>
        <v>4012.5</v>
      </c>
      <c r="H53" s="116">
        <v>8350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4012.5</v>
      </c>
      <c r="L53" s="116">
        <v>8350</v>
      </c>
      <c r="M53" s="2"/>
      <c r="N53" s="2"/>
      <c r="O53" s="2"/>
      <c r="P53" s="40"/>
      <c r="Q53" s="41">
        <v>1</v>
      </c>
      <c r="R53" s="40" t="s">
        <v>13</v>
      </c>
      <c r="S53" s="40">
        <v>325</v>
      </c>
      <c r="T53" s="42" t="s">
        <v>14</v>
      </c>
      <c r="U53" s="43">
        <v>0</v>
      </c>
      <c r="V53" s="39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42</v>
      </c>
      <c r="B54" s="3" t="s">
        <v>67</v>
      </c>
      <c r="C54" s="56">
        <f>(HearingAids[[#This Row],[haMSRP]]*2)+HearingAids[[#This Row],[chargerPrice]]</f>
        <v>3920</v>
      </c>
      <c r="D54" s="8">
        <v>1960</v>
      </c>
      <c r="E54" s="52" t="s">
        <v>538</v>
      </c>
      <c r="F54" s="39">
        <f>HearingAids[[#This Row],[haMSRP]]-((HearingAids[[#This Row],[ListPriceBinural]]-HearingAids[[#This Row],[chargerPrice]])/2)</f>
        <v>410</v>
      </c>
      <c r="G54" s="39">
        <f>HearingAids[[#This Row],[haMSRP]]-HearingAids[[#This Row],[Discount Amount 1]]</f>
        <v>1550</v>
      </c>
      <c r="H54" s="115">
        <v>3100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1550</v>
      </c>
      <c r="L54" s="115">
        <v>3100</v>
      </c>
      <c r="M54" s="40"/>
      <c r="N54" s="40"/>
      <c r="O54" s="40"/>
      <c r="P54" s="40"/>
      <c r="Q54" s="15">
        <v>1</v>
      </c>
      <c r="R54" s="2" t="s">
        <v>16</v>
      </c>
      <c r="S54" s="2">
        <v>0</v>
      </c>
      <c r="T54" s="10" t="s">
        <v>26</v>
      </c>
      <c r="U54" s="7">
        <v>0</v>
      </c>
      <c r="V54" s="12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" t="s">
        <v>43</v>
      </c>
      <c r="B55" s="47" t="s">
        <v>509</v>
      </c>
      <c r="C55" s="53">
        <f>(HearingAids[[#This Row],[haMSRP]]*2)+HearingAids[[#This Row],[chargerPrice]]</f>
        <v>3920</v>
      </c>
      <c r="D55" s="8">
        <v>1960</v>
      </c>
      <c r="E55" s="52" t="s">
        <v>538</v>
      </c>
      <c r="F55" s="39">
        <f>HearingAids[[#This Row],[haMSRP]]-((HearingAids[[#This Row],[ListPriceBinural]]-HearingAids[[#This Row],[chargerPrice]])/2)</f>
        <v>410</v>
      </c>
      <c r="G55" s="39">
        <f>HearingAids[[#This Row],[haMSRP]]-HearingAids[[#This Row],[Discount Amount 1]]</f>
        <v>1550</v>
      </c>
      <c r="H55" s="115">
        <v>3100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15">
        <v>3100</v>
      </c>
      <c r="M55" s="40"/>
      <c r="N55" s="40"/>
      <c r="O55" s="40"/>
      <c r="P55" s="40"/>
      <c r="Q55" s="15">
        <v>1</v>
      </c>
      <c r="R55" s="2" t="s">
        <v>16</v>
      </c>
      <c r="S55" s="2">
        <v>0</v>
      </c>
      <c r="T55" s="10" t="s">
        <v>26</v>
      </c>
      <c r="U55" s="7">
        <v>0</v>
      </c>
      <c r="V55" s="12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" t="s">
        <v>29</v>
      </c>
      <c r="B56" s="47" t="s">
        <v>521</v>
      </c>
      <c r="C56" s="53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115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115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17</v>
      </c>
      <c r="U56" s="7">
        <v>0</v>
      </c>
      <c r="V56" s="2" t="s">
        <v>18</v>
      </c>
      <c r="W56" s="2"/>
      <c r="Y56" s="25"/>
      <c r="Z56" s="25"/>
      <c r="AA56" s="25"/>
      <c r="AB56"/>
      <c r="AC56"/>
      <c r="AD56"/>
      <c r="AE56"/>
    </row>
    <row r="57" spans="1:32" ht="12.75">
      <c r="A57" s="3" t="s">
        <v>30</v>
      </c>
      <c r="B57" s="47" t="s">
        <v>522</v>
      </c>
      <c r="C57" s="53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115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115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17</v>
      </c>
      <c r="U57" s="7">
        <v>0</v>
      </c>
      <c r="V57" s="2" t="s">
        <v>18</v>
      </c>
      <c r="W57" s="2"/>
      <c r="Y57" s="25"/>
      <c r="Z57" s="25"/>
      <c r="AA57" s="25"/>
      <c r="AB57"/>
      <c r="AC57"/>
      <c r="AD57"/>
      <c r="AE57"/>
    </row>
    <row r="58" spans="1:32" ht="12.75">
      <c r="A58" s="3" t="s">
        <v>31</v>
      </c>
      <c r="B58" s="47" t="s">
        <v>523</v>
      </c>
      <c r="C58" s="53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115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115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10</v>
      </c>
      <c r="U58" s="7">
        <v>0</v>
      </c>
      <c r="V58" s="12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" t="s">
        <v>32</v>
      </c>
      <c r="B59" s="47" t="s">
        <v>524</v>
      </c>
      <c r="C59" s="53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115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115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10</v>
      </c>
      <c r="U59" s="7">
        <v>0</v>
      </c>
      <c r="V59" s="12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" t="s">
        <v>38</v>
      </c>
      <c r="B60" s="47" t="s">
        <v>515</v>
      </c>
      <c r="C60" s="53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115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115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12</v>
      </c>
      <c r="U60" s="7">
        <v>0</v>
      </c>
      <c r="V60" s="2"/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40</v>
      </c>
      <c r="B61" s="47" t="s">
        <v>518</v>
      </c>
      <c r="C61" s="53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115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15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12</v>
      </c>
      <c r="U61" s="7">
        <v>0</v>
      </c>
      <c r="V61" s="2"/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44</v>
      </c>
      <c r="B62" s="3" t="s">
        <v>68</v>
      </c>
      <c r="C62" s="56">
        <f>(HearingAids[[#This Row],[haMSRP]]*2)+HearingAids[[#This Row],[chargerPrice]]</f>
        <v>4690</v>
      </c>
      <c r="D62" s="8">
        <v>2345</v>
      </c>
      <c r="E62" s="52" t="s">
        <v>538</v>
      </c>
      <c r="F62" s="39">
        <f>HearingAids[[#This Row],[haMSRP]]-((HearingAids[[#This Row],[ListPriceBinural]]-HearingAids[[#This Row],[chargerPrice]])/2)</f>
        <v>595</v>
      </c>
      <c r="G62" s="39">
        <f>HearingAids[[#This Row],[haMSRP]]-HearingAids[[#This Row],[Discount Amount 1]]</f>
        <v>1750</v>
      </c>
      <c r="H62" s="115">
        <v>3500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1750</v>
      </c>
      <c r="L62" s="115">
        <v>3500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2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406</v>
      </c>
      <c r="B63" s="3" t="s">
        <v>407</v>
      </c>
      <c r="C63" s="56">
        <f>(HearingAids[[#This Row],[haMSRP]]*2)+HearingAids[[#This Row],[chargerPrice]]</f>
        <v>4890</v>
      </c>
      <c r="D63" s="22">
        <v>2345</v>
      </c>
      <c r="E63" s="52" t="s">
        <v>538</v>
      </c>
      <c r="F63" s="39">
        <f>HearingAids[[#This Row],[haMSRP]]-((HearingAids[[#This Row],[ListPriceBinural]]-HearingAids[[#This Row],[chargerPrice]])/2)</f>
        <v>695</v>
      </c>
      <c r="G63" s="39">
        <f>HearingAids[[#This Row],[haMSRP]]-HearingAids[[#This Row],[Discount Amount 1]]</f>
        <v>1650</v>
      </c>
      <c r="H63" s="115">
        <v>3500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1650</v>
      </c>
      <c r="L63" s="115">
        <v>3500</v>
      </c>
      <c r="M63" s="40"/>
      <c r="N63" s="40"/>
      <c r="O63" s="40"/>
      <c r="P63" s="40"/>
      <c r="Q63" s="23">
        <v>1</v>
      </c>
      <c r="R63" s="122" t="s">
        <v>9</v>
      </c>
      <c r="S63" s="22">
        <v>200</v>
      </c>
      <c r="T63" s="24" t="s">
        <v>26</v>
      </c>
      <c r="U63" s="25">
        <v>0</v>
      </c>
      <c r="V63" s="25" t="s">
        <v>11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45</v>
      </c>
      <c r="B64" s="47" t="s">
        <v>510</v>
      </c>
      <c r="C64" s="53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115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115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33</v>
      </c>
      <c r="B65" s="47" t="s">
        <v>525</v>
      </c>
      <c r="C65" s="53">
        <f>(HearingAids[[#This Row],[haMSRP]]*2)+HearingAids[[#This Row],[chargerPrice]]</f>
        <v>4690</v>
      </c>
      <c r="D65" s="8">
        <v>2345</v>
      </c>
      <c r="E65" s="52" t="s">
        <v>538</v>
      </c>
      <c r="F65" s="39">
        <f>HearingAids[[#This Row],[haMSRP]]-((HearingAids[[#This Row],[ListPriceBinural]]-HearingAids[[#This Row],[chargerPrice]])/2)</f>
        <v>595</v>
      </c>
      <c r="G65" s="39">
        <f>HearingAids[[#This Row],[haMSRP]]-HearingAids[[#This Row],[Discount Amount 1]]</f>
        <v>1750</v>
      </c>
      <c r="H65" s="115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1750</v>
      </c>
      <c r="L65" s="115">
        <v>3500</v>
      </c>
      <c r="M65" s="40"/>
      <c r="N65" s="40"/>
      <c r="O65" s="40"/>
      <c r="P65" s="40"/>
      <c r="Q65" s="15">
        <v>1</v>
      </c>
      <c r="R65" s="2" t="s">
        <v>16</v>
      </c>
      <c r="S65" s="2">
        <v>0</v>
      </c>
      <c r="T65" s="10" t="s">
        <v>17</v>
      </c>
      <c r="U65" s="7">
        <v>0</v>
      </c>
      <c r="V65" s="2" t="s">
        <v>18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34</v>
      </c>
      <c r="B66" s="47" t="s">
        <v>526</v>
      </c>
      <c r="C66" s="53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115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115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17</v>
      </c>
      <c r="U66" s="7">
        <v>0</v>
      </c>
      <c r="V66" s="2" t="s">
        <v>18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35</v>
      </c>
      <c r="B67" s="47" t="s">
        <v>527</v>
      </c>
      <c r="C67" s="53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115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115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10</v>
      </c>
      <c r="U67" s="7">
        <v>0</v>
      </c>
      <c r="V67" s="12" t="s">
        <v>11</v>
      </c>
      <c r="W67" s="7"/>
      <c r="Y67" s="25"/>
      <c r="Z67" s="25"/>
      <c r="AA67" s="25"/>
      <c r="AB67"/>
      <c r="AC67"/>
      <c r="AD67"/>
      <c r="AE67"/>
    </row>
    <row r="68" spans="1:31" ht="12.75">
      <c r="A68" s="3" t="s">
        <v>36</v>
      </c>
      <c r="B68" s="47" t="s">
        <v>528</v>
      </c>
      <c r="C68" s="53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115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115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10</v>
      </c>
      <c r="U68" s="7">
        <v>0</v>
      </c>
      <c r="V68" s="12" t="s">
        <v>11</v>
      </c>
      <c r="W68" s="7"/>
      <c r="Y68" s="25"/>
      <c r="Z68" s="25"/>
      <c r="AA68" s="25"/>
      <c r="AB68"/>
      <c r="AC68"/>
      <c r="AD68"/>
      <c r="AE68"/>
    </row>
    <row r="69" spans="1:31" ht="12.75">
      <c r="A69" s="3" t="s">
        <v>37</v>
      </c>
      <c r="B69" s="47" t="s">
        <v>512</v>
      </c>
      <c r="C69" s="53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115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15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12</v>
      </c>
      <c r="U69" s="7">
        <v>0</v>
      </c>
      <c r="V69" s="2"/>
      <c r="W69" s="7"/>
      <c r="Y69" s="25"/>
      <c r="Z69" s="25"/>
      <c r="AA69" s="25"/>
      <c r="AB69"/>
      <c r="AC69"/>
      <c r="AD69"/>
      <c r="AE69"/>
    </row>
    <row r="70" spans="1:31" ht="12.75">
      <c r="A70" s="3" t="s">
        <v>39</v>
      </c>
      <c r="B70" s="47" t="s">
        <v>516</v>
      </c>
      <c r="C70" s="53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115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115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12</v>
      </c>
      <c r="U70" s="7">
        <v>0</v>
      </c>
      <c r="V70" s="2"/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41</v>
      </c>
      <c r="B71" s="47" t="s">
        <v>519</v>
      </c>
      <c r="C71" s="53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115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15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1" ht="12.75">
      <c r="A72" s="3" t="s">
        <v>25</v>
      </c>
      <c r="B72" s="3" t="s">
        <v>66</v>
      </c>
      <c r="C72" s="56">
        <f>(HearingAids[[#This Row],[haMSRP]]*2)+HearingAids[[#This Row],[chargerPrice]]</f>
        <v>6258</v>
      </c>
      <c r="D72" s="39">
        <v>3029</v>
      </c>
      <c r="E72" s="52" t="s">
        <v>538</v>
      </c>
      <c r="F72" s="39">
        <f>HearingAids[[#This Row],[haMSRP]]-((HearingAids[[#This Row],[ListPriceBinural]]-HearingAids[[#This Row],[chargerPrice]])/2)</f>
        <v>604</v>
      </c>
      <c r="G72" s="39">
        <f>HearingAids[[#This Row],[haMSRP]]-HearingAids[[#This Row],[Discount Amount 1]]</f>
        <v>2425</v>
      </c>
      <c r="H72" s="115">
        <v>5050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2425</v>
      </c>
      <c r="L72" s="115">
        <v>5050</v>
      </c>
      <c r="M72" s="40"/>
      <c r="N72" s="40"/>
      <c r="O72" s="40"/>
      <c r="P72" s="40"/>
      <c r="Q72" s="15">
        <v>1</v>
      </c>
      <c r="R72" s="123" t="s">
        <v>9</v>
      </c>
      <c r="S72" s="2">
        <v>200</v>
      </c>
      <c r="T72" s="10" t="s">
        <v>26</v>
      </c>
      <c r="U72" s="7">
        <v>0</v>
      </c>
      <c r="V72" s="12" t="s">
        <v>11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27</v>
      </c>
      <c r="B73" s="47" t="s">
        <v>511</v>
      </c>
      <c r="C73" s="53">
        <f>(HearingAids[[#This Row],[haMSRP]]*2)+HearingAids[[#This Row],[chargerPrice]]</f>
        <v>6058</v>
      </c>
      <c r="D73" s="39">
        <v>3029</v>
      </c>
      <c r="E73" s="52" t="s">
        <v>538</v>
      </c>
      <c r="F73" s="39">
        <f>HearingAids[[#This Row],[haMSRP]]-((HearingAids[[#This Row],[ListPriceBinural]]-HearingAids[[#This Row],[chargerPrice]])/2)</f>
        <v>504</v>
      </c>
      <c r="G73" s="39">
        <f>HearingAids[[#This Row],[haMSRP]]-HearingAids[[#This Row],[Discount Amount 1]]</f>
        <v>2525</v>
      </c>
      <c r="H73" s="115">
        <v>5050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2525</v>
      </c>
      <c r="L73" s="115">
        <v>5050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26</v>
      </c>
      <c r="U73" s="7">
        <v>0</v>
      </c>
      <c r="V73" s="12" t="s">
        <v>11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15</v>
      </c>
      <c r="B74" s="47" t="s">
        <v>529</v>
      </c>
      <c r="C74" s="53">
        <f>(HearingAids[[#This Row],[haMSRP]]*2)+HearingAids[[#This Row],[chargerPrice]]</f>
        <v>6058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504</v>
      </c>
      <c r="G74" s="39">
        <f>HearingAids[[#This Row],[haMSRP]]-HearingAids[[#This Row],[Discount Amount 1]]</f>
        <v>2525</v>
      </c>
      <c r="H74" s="115">
        <v>5050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2525</v>
      </c>
      <c r="L74" s="115">
        <v>5050</v>
      </c>
      <c r="M74" s="40"/>
      <c r="N74" s="40"/>
      <c r="O74" s="40"/>
      <c r="P74" s="40"/>
      <c r="Q74" s="15">
        <v>1</v>
      </c>
      <c r="R74" s="2" t="s">
        <v>16</v>
      </c>
      <c r="S74" s="2">
        <v>0</v>
      </c>
      <c r="T74" s="10" t="s">
        <v>17</v>
      </c>
      <c r="U74" s="7">
        <v>0</v>
      </c>
      <c r="V74" s="2" t="s">
        <v>18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19</v>
      </c>
      <c r="B75" s="47" t="s">
        <v>530</v>
      </c>
      <c r="C75" s="53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504</v>
      </c>
      <c r="G75" s="39">
        <f>HearingAids[[#This Row],[haMSRP]]-HearingAids[[#This Row],[Discount Amount 1]]</f>
        <v>2525</v>
      </c>
      <c r="H75" s="115">
        <v>5050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2525</v>
      </c>
      <c r="L75" s="115">
        <v>5050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17</v>
      </c>
      <c r="U75" s="7">
        <v>0</v>
      </c>
      <c r="V75" s="2" t="s">
        <v>18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20</v>
      </c>
      <c r="B76" s="47" t="s">
        <v>531</v>
      </c>
      <c r="C76" s="53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504</v>
      </c>
      <c r="G76" s="39">
        <f>HearingAids[[#This Row],[haMSRP]]-HearingAids[[#This Row],[Discount Amount 1]]</f>
        <v>2525</v>
      </c>
      <c r="H76" s="115">
        <v>5050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2525</v>
      </c>
      <c r="L76" s="115">
        <v>5050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10</v>
      </c>
      <c r="U76" s="7">
        <v>0</v>
      </c>
      <c r="V76" s="12" t="s">
        <v>11</v>
      </c>
      <c r="W76" s="7"/>
      <c r="Y76" s="25"/>
      <c r="Z76" s="25"/>
      <c r="AA76" s="25"/>
      <c r="AB76"/>
      <c r="AC76"/>
      <c r="AD76"/>
      <c r="AE76"/>
    </row>
    <row r="77" spans="1:31" ht="12.75">
      <c r="A77" s="3" t="s">
        <v>21</v>
      </c>
      <c r="B77" s="47" t="s">
        <v>537</v>
      </c>
      <c r="C77" s="53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504</v>
      </c>
      <c r="G77" s="39">
        <f>HearingAids[[#This Row],[haMSRP]]-HearingAids[[#This Row],[Discount Amount 1]]</f>
        <v>2525</v>
      </c>
      <c r="H77" s="115">
        <v>5050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2525</v>
      </c>
      <c r="L77" s="115">
        <v>5050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10</v>
      </c>
      <c r="U77" s="7">
        <v>0</v>
      </c>
      <c r="V77" s="12" t="s">
        <v>11</v>
      </c>
      <c r="W77" s="7"/>
      <c r="Y77" s="25"/>
      <c r="Z77" s="25"/>
      <c r="AA77" s="25"/>
      <c r="AB77"/>
      <c r="AC77"/>
      <c r="AD77"/>
      <c r="AE77"/>
    </row>
    <row r="78" spans="1:31" ht="12.75">
      <c r="A78" s="3" t="s">
        <v>22</v>
      </c>
      <c r="B78" s="47" t="s">
        <v>513</v>
      </c>
      <c r="C78" s="53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504</v>
      </c>
      <c r="G78" s="39">
        <f>HearingAids[[#This Row],[haMSRP]]-HearingAids[[#This Row],[Discount Amount 1]]</f>
        <v>2525</v>
      </c>
      <c r="H78" s="115">
        <v>5050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2525</v>
      </c>
      <c r="L78" s="115">
        <v>5050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2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23</v>
      </c>
      <c r="B79" s="47" t="s">
        <v>514</v>
      </c>
      <c r="C79" s="53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504</v>
      </c>
      <c r="G79" s="39">
        <f>HearingAids[[#This Row],[haMSRP]]-HearingAids[[#This Row],[Discount Amount 1]]</f>
        <v>2525</v>
      </c>
      <c r="H79" s="115">
        <v>5050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2525</v>
      </c>
      <c r="L79" s="115">
        <v>5050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12</v>
      </c>
      <c r="U79" s="7">
        <v>0</v>
      </c>
      <c r="V79" s="2"/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24</v>
      </c>
      <c r="B80" s="47" t="s">
        <v>517</v>
      </c>
      <c r="C80" s="53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504</v>
      </c>
      <c r="G80" s="39">
        <f>HearingAids[[#This Row],[haMSRP]]-HearingAids[[#This Row],[Discount Amount 1]]</f>
        <v>2525</v>
      </c>
      <c r="H80" s="115">
        <v>5050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15">
        <v>5050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>
      <c r="A81" s="3" t="s">
        <v>413</v>
      </c>
      <c r="B81" s="37" t="s">
        <v>416</v>
      </c>
      <c r="C81" s="54">
        <f>(HearingAids[[#This Row],[haMSRP]]*2)+HearingAids[[#This Row],[chargerPrice]]</f>
        <v>11963</v>
      </c>
      <c r="D81" s="39">
        <v>5819</v>
      </c>
      <c r="E81" s="52" t="s">
        <v>538</v>
      </c>
      <c r="F81" s="39">
        <f>HearingAids[[#This Row],[haMSRP]]-((HearingAids[[#This Row],[ListPriceBinural]]-HearingAids[[#This Row],[chargerPrice]])/2)</f>
        <v>1256.5</v>
      </c>
      <c r="G81" s="39">
        <f>HearingAids[[#This Row],[haMSRP]]-HearingAids[[#This Row],[Discount Amount 1]]</f>
        <v>4562.5</v>
      </c>
      <c r="H81" s="116">
        <v>9450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4562.5</v>
      </c>
      <c r="L81" s="116">
        <v>9450</v>
      </c>
      <c r="M81" s="2"/>
      <c r="N81" s="2"/>
      <c r="O81" s="2"/>
      <c r="P81" s="40"/>
      <c r="Q81" s="15">
        <v>1</v>
      </c>
      <c r="R81" s="2" t="s">
        <v>13</v>
      </c>
      <c r="S81" s="40">
        <v>325</v>
      </c>
      <c r="T81" s="11" t="s">
        <v>14</v>
      </c>
      <c r="U81" s="2">
        <v>0</v>
      </c>
      <c r="V81" s="12" t="s">
        <v>11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414</v>
      </c>
      <c r="B82" s="37" t="s">
        <v>417</v>
      </c>
      <c r="C82" s="54">
        <f>(HearingAids[[#This Row],[haMSRP]]*2)+HearingAids[[#This Row],[chargerPrice]]</f>
        <v>7703</v>
      </c>
      <c r="D82" s="39">
        <v>3689</v>
      </c>
      <c r="E82" s="52" t="s">
        <v>538</v>
      </c>
      <c r="F82" s="39">
        <f>HearingAids[[#This Row],[haMSRP]]-((HearingAids[[#This Row],[ListPriceBinural]]-HearingAids[[#This Row],[chargerPrice]])/2)</f>
        <v>326.5</v>
      </c>
      <c r="G82" s="39">
        <f>HearingAids[[#This Row],[haMSRP]]-HearingAids[[#This Row],[Discount Amount 1]]</f>
        <v>3362.5</v>
      </c>
      <c r="H82" s="116">
        <v>7050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3362.5</v>
      </c>
      <c r="L82" s="116">
        <v>7050</v>
      </c>
      <c r="M82" s="2"/>
      <c r="N82" s="2"/>
      <c r="O82" s="2"/>
      <c r="P82" s="40"/>
      <c r="Q82" s="15">
        <v>1</v>
      </c>
      <c r="R82" s="2" t="s">
        <v>13</v>
      </c>
      <c r="S82" s="40">
        <v>325</v>
      </c>
      <c r="T82" s="11" t="s">
        <v>14</v>
      </c>
      <c r="U82" s="2">
        <v>0</v>
      </c>
      <c r="V82" s="12" t="s">
        <v>11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415</v>
      </c>
      <c r="B83" s="37" t="s">
        <v>418</v>
      </c>
      <c r="C83" s="54">
        <f>(HearingAids[[#This Row],[haMSRP]]*2)+HearingAids[[#This Row],[chargerPrice]]</f>
        <v>9683</v>
      </c>
      <c r="D83" s="39">
        <v>4679</v>
      </c>
      <c r="E83" s="52" t="s">
        <v>538</v>
      </c>
      <c r="F83" s="39">
        <f>HearingAids[[#This Row],[haMSRP]]-((HearingAids[[#This Row],[ListPriceBinural]]-HearingAids[[#This Row],[chargerPrice]])/2)</f>
        <v>666.5</v>
      </c>
      <c r="G83" s="39">
        <f>HearingAids[[#This Row],[haMSRP]]-HearingAids[[#This Row],[Discount Amount 1]]</f>
        <v>4012.5</v>
      </c>
      <c r="H83" s="116">
        <v>8350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4012.5</v>
      </c>
      <c r="L83" s="116">
        <v>8350</v>
      </c>
      <c r="M83" s="2"/>
      <c r="N83" s="2"/>
      <c r="O83" s="2"/>
      <c r="P83" s="40"/>
      <c r="Q83" s="15">
        <v>1</v>
      </c>
      <c r="R83" s="2" t="s">
        <v>13</v>
      </c>
      <c r="S83" s="40">
        <v>325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8" t="s">
        <v>500</v>
      </c>
      <c r="B84" s="47" t="s">
        <v>507</v>
      </c>
      <c r="C84" s="53">
        <f>(HearingAids[[#This Row],[haMSRP]]*2)+HearingAids[[#This Row],[chargerPrice]]</f>
        <v>4878</v>
      </c>
      <c r="D84" s="39">
        <v>2339</v>
      </c>
      <c r="E84" s="52" t="s">
        <v>538</v>
      </c>
      <c r="F84" s="39">
        <f>HearingAids[[#This Row],[haMSRP]]-((HearingAids[[#This Row],[ListPriceBinural]]-HearingAids[[#This Row],[chargerPrice]])/2)</f>
        <v>689</v>
      </c>
      <c r="G84" s="39">
        <f>HearingAids[[#This Row],[haMSRP]]-HearingAids[[#This Row],[Discount Amount 1]]</f>
        <v>1650</v>
      </c>
      <c r="H84" s="117">
        <v>3500</v>
      </c>
      <c r="I84" s="44" t="s">
        <v>502</v>
      </c>
      <c r="J84" s="2">
        <f>(HearingAids[[#This Row],[haMSRP]]-HearingAids[[#This Row],[Discount Amount 1]])-(HearingAids[[#This Row],[haNetPriceBinural]]-HearingAids[[#This Row],[chargerPrice]])/2</f>
        <v>55</v>
      </c>
      <c r="K84" s="2">
        <f>HearingAids[[#This Row],[HAListPrice]]-HearingAids[[#This Row],[Discount Amount 2]]</f>
        <v>1595</v>
      </c>
      <c r="L84" s="117">
        <v>3390</v>
      </c>
      <c r="M84" s="2"/>
      <c r="N84" s="2"/>
      <c r="O84" s="2"/>
      <c r="P84" s="22"/>
      <c r="Q84" s="23">
        <v>1</v>
      </c>
      <c r="R84" s="122" t="s">
        <v>9</v>
      </c>
      <c r="S84" s="22">
        <v>200</v>
      </c>
      <c r="T84" s="24" t="s">
        <v>26</v>
      </c>
      <c r="U84" s="25">
        <v>0</v>
      </c>
      <c r="V84" s="25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413</v>
      </c>
      <c r="B85" s="37" t="s">
        <v>416</v>
      </c>
      <c r="C85" s="54">
        <f>(HearingAids[[#This Row],[haMSRP]]*2)+HearingAids[[#This Row],[chargerPrice]]</f>
        <v>11963</v>
      </c>
      <c r="D85" s="39">
        <v>5819</v>
      </c>
      <c r="E85" s="52" t="s">
        <v>538</v>
      </c>
      <c r="F85" s="39">
        <f>HearingAids[[#This Row],[haMSRP]]-((HearingAids[[#This Row],[ListPriceBinural]]-HearingAids[[#This Row],[chargerPrice]])/2)</f>
        <v>1256.5</v>
      </c>
      <c r="G85" s="39">
        <f>HearingAids[[#This Row],[haMSRP]]-HearingAids[[#This Row],[Discount Amount 1]]</f>
        <v>4562.5</v>
      </c>
      <c r="H85" s="116">
        <v>9450</v>
      </c>
      <c r="I85" s="44" t="s">
        <v>502</v>
      </c>
      <c r="J85" s="2">
        <f>(HearingAids[[#This Row],[haMSRP]]-HearingAids[[#This Row],[Discount Amount 1]])-(HearingAids[[#This Row],[haNetPriceBinural]]-HearingAids[[#This Row],[chargerPrice]])/2</f>
        <v>1380</v>
      </c>
      <c r="K85" s="2">
        <f>HearingAids[[#This Row],[HAListPrice]]-HearingAids[[#This Row],[Discount Amount 2]]</f>
        <v>3182.5</v>
      </c>
      <c r="L85" s="116">
        <v>6690</v>
      </c>
      <c r="M85" s="2"/>
      <c r="N85" s="2"/>
      <c r="O85" s="2"/>
      <c r="P85" s="2"/>
      <c r="Q85" s="15">
        <v>1</v>
      </c>
      <c r="R85" s="2" t="s">
        <v>13</v>
      </c>
      <c r="S85" s="40">
        <v>325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>
      <c r="A86" s="3" t="s">
        <v>414</v>
      </c>
      <c r="B86" s="37" t="s">
        <v>417</v>
      </c>
      <c r="C86" s="54">
        <f>(HearingAids[[#This Row],[haMSRP]]*2)+HearingAids[[#This Row],[chargerPrice]]</f>
        <v>7703</v>
      </c>
      <c r="D86" s="39">
        <v>3689</v>
      </c>
      <c r="E86" s="52" t="s">
        <v>538</v>
      </c>
      <c r="F86" s="39">
        <f>HearingAids[[#This Row],[haMSRP]]-((HearingAids[[#This Row],[ListPriceBinural]]-HearingAids[[#This Row],[chargerPrice]])/2)</f>
        <v>326.5</v>
      </c>
      <c r="G86" s="39">
        <f>HearingAids[[#This Row],[haMSRP]]-HearingAids[[#This Row],[Discount Amount 1]]</f>
        <v>3362.5</v>
      </c>
      <c r="H86" s="116">
        <v>7050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1080</v>
      </c>
      <c r="K86" s="2">
        <f>HearingAids[[#This Row],[HAListPrice]]-HearingAids[[#This Row],[Discount Amount 2]]</f>
        <v>2282.5</v>
      </c>
      <c r="L86" s="116">
        <v>4890</v>
      </c>
      <c r="M86" s="2"/>
      <c r="N86" s="2"/>
      <c r="O86" s="2"/>
      <c r="P86" s="2"/>
      <c r="Q86" s="15">
        <v>1</v>
      </c>
      <c r="R86" s="2" t="s">
        <v>13</v>
      </c>
      <c r="S86" s="40">
        <v>325</v>
      </c>
      <c r="T86" s="11" t="s">
        <v>14</v>
      </c>
      <c r="U86" s="2">
        <v>0</v>
      </c>
      <c r="V86" s="12" t="s">
        <v>11</v>
      </c>
      <c r="W86" s="7"/>
      <c r="Y86" s="25"/>
      <c r="Z86" s="25"/>
      <c r="AA86" s="25"/>
      <c r="AB86"/>
      <c r="AC86"/>
      <c r="AD86"/>
      <c r="AE86"/>
    </row>
    <row r="87" spans="1:31" ht="12.75">
      <c r="A87" s="3" t="s">
        <v>415</v>
      </c>
      <c r="B87" s="3" t="s">
        <v>418</v>
      </c>
      <c r="C87" s="56">
        <f>(HearingAids[[#This Row],[haMSRP]]*2)+HearingAids[[#This Row],[chargerPrice]]</f>
        <v>9683</v>
      </c>
      <c r="D87" s="39">
        <v>4679</v>
      </c>
      <c r="E87" s="52" t="s">
        <v>538</v>
      </c>
      <c r="F87" s="39">
        <f>HearingAids[[#This Row],[haMSRP]]-((HearingAids[[#This Row],[ListPriceBinural]]-HearingAids[[#This Row],[chargerPrice]])/2)</f>
        <v>666.5</v>
      </c>
      <c r="G87" s="39">
        <f>HearingAids[[#This Row],[haMSRP]]-HearingAids[[#This Row],[Discount Amount 1]]</f>
        <v>4012.5</v>
      </c>
      <c r="H87" s="116">
        <v>8350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1330</v>
      </c>
      <c r="K87" s="2">
        <f>HearingAids[[#This Row],[HAListPrice]]-HearingAids[[#This Row],[Discount Amount 2]]</f>
        <v>2682.5</v>
      </c>
      <c r="L87" s="116">
        <v>5690</v>
      </c>
      <c r="M87" s="2"/>
      <c r="N87" s="2"/>
      <c r="O87" s="2"/>
      <c r="P87" s="2"/>
      <c r="Q87" s="15">
        <v>1</v>
      </c>
      <c r="R87" s="2" t="s">
        <v>13</v>
      </c>
      <c r="S87" s="40">
        <v>325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>
      <c r="A88" s="38" t="s">
        <v>500</v>
      </c>
      <c r="B88" s="47" t="s">
        <v>507</v>
      </c>
      <c r="C88" s="53">
        <f>(HearingAids[[#This Row],[haMSRP]]*2)+HearingAids[[#This Row],[chargerPrice]]</f>
        <v>4903</v>
      </c>
      <c r="D88" s="39">
        <v>2339</v>
      </c>
      <c r="E88" s="52" t="s">
        <v>538</v>
      </c>
      <c r="F88" s="39">
        <f>HearingAids[[#This Row],[haMSRP]]-((HearingAids[[#This Row],[ListPriceBinural]]-HearingAids[[#This Row],[chargerPrice]])/2)</f>
        <v>701.5</v>
      </c>
      <c r="G88" s="39">
        <f>HearingAids[[#This Row],[haMSRP]]-HearingAids[[#This Row],[Discount Amount 1]]</f>
        <v>1637.5</v>
      </c>
      <c r="H88" s="117">
        <v>3500</v>
      </c>
      <c r="I88" s="4" t="s">
        <v>47</v>
      </c>
      <c r="J88" s="2">
        <f>(HearingAids[[#This Row],[haMSRP]]-HearingAids[[#This Row],[Discount Amount 1]])-(HearingAids[[#This Row],[haNetPriceBinural]]-HearingAids[[#This Row],[chargerPrice]])/2</f>
        <v>55</v>
      </c>
      <c r="K88" s="2">
        <f>HearingAids[[#This Row],[HAListPrice]]-HearingAids[[#This Row],[Discount Amount 2]]</f>
        <v>1582.5</v>
      </c>
      <c r="L88" s="117">
        <v>3390</v>
      </c>
      <c r="M88" s="2"/>
      <c r="N88" s="2"/>
      <c r="O88" s="2"/>
      <c r="P88" s="22"/>
      <c r="Q88" s="23">
        <v>1</v>
      </c>
      <c r="R88" s="122" t="s">
        <v>9</v>
      </c>
      <c r="S88" s="22">
        <v>225</v>
      </c>
      <c r="T88" s="24" t="s">
        <v>26</v>
      </c>
      <c r="U88" s="25">
        <v>0</v>
      </c>
      <c r="V88" s="25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413</v>
      </c>
      <c r="B89" s="37" t="s">
        <v>416</v>
      </c>
      <c r="C89" s="54">
        <f>(HearingAids[[#This Row],[haMSRP]]*2)+HearingAids[[#This Row],[chargerPrice]]</f>
        <v>11963</v>
      </c>
      <c r="D89" s="39">
        <v>5819</v>
      </c>
      <c r="E89" s="52" t="s">
        <v>538</v>
      </c>
      <c r="F89" s="39">
        <f>HearingAids[[#This Row],[haMSRP]]-((HearingAids[[#This Row],[ListPriceBinural]]-HearingAids[[#This Row],[chargerPrice]])/2)</f>
        <v>1256.5</v>
      </c>
      <c r="G89" s="39">
        <f>HearingAids[[#This Row],[haMSRP]]-HearingAids[[#This Row],[Discount Amount 1]]</f>
        <v>4562.5</v>
      </c>
      <c r="H89" s="116">
        <v>9450</v>
      </c>
      <c r="I89" s="4" t="s">
        <v>47</v>
      </c>
      <c r="J89" s="2">
        <f>(HearingAids[[#This Row],[haMSRP]]-HearingAids[[#This Row],[Discount Amount 1]])-(HearingAids[[#This Row],[haNetPriceBinural]]-HearingAids[[#This Row],[chargerPrice]])/2</f>
        <v>1380</v>
      </c>
      <c r="K89" s="2">
        <f>HearingAids[[#This Row],[HAListPrice]]-HearingAids[[#This Row],[Discount Amount 2]]</f>
        <v>3182.5</v>
      </c>
      <c r="L89" s="116">
        <v>6690</v>
      </c>
      <c r="M89" s="2"/>
      <c r="N89" s="2"/>
      <c r="O89" s="2"/>
      <c r="P89" s="2"/>
      <c r="Q89" s="15">
        <v>1</v>
      </c>
      <c r="R89" s="2" t="s">
        <v>13</v>
      </c>
      <c r="S89" s="40">
        <v>325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414</v>
      </c>
      <c r="B90" s="3" t="s">
        <v>417</v>
      </c>
      <c r="C90" s="56">
        <f>(HearingAids[[#This Row],[haMSRP]]*2)+HearingAids[[#This Row],[chargerPrice]]</f>
        <v>7703</v>
      </c>
      <c r="D90" s="39">
        <v>3689</v>
      </c>
      <c r="E90" s="52" t="s">
        <v>538</v>
      </c>
      <c r="F90" s="39">
        <f>HearingAids[[#This Row],[haMSRP]]-((HearingAids[[#This Row],[ListPriceBinural]]-HearingAids[[#This Row],[chargerPrice]])/2)</f>
        <v>326.5</v>
      </c>
      <c r="G90" s="39">
        <f>HearingAids[[#This Row],[haMSRP]]-HearingAids[[#This Row],[Discount Amount 1]]</f>
        <v>3362.5</v>
      </c>
      <c r="H90" s="116">
        <v>7050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1080</v>
      </c>
      <c r="K90" s="2">
        <f>HearingAids[[#This Row],[HAListPrice]]-HearingAids[[#This Row],[Discount Amount 2]]</f>
        <v>2282.5</v>
      </c>
      <c r="L90" s="116">
        <v>4890</v>
      </c>
      <c r="M90" s="2"/>
      <c r="N90" s="2"/>
      <c r="O90" s="2"/>
      <c r="P90" s="2"/>
      <c r="Q90" s="15">
        <v>1</v>
      </c>
      <c r="R90" s="2" t="s">
        <v>13</v>
      </c>
      <c r="S90" s="40">
        <v>325</v>
      </c>
      <c r="T90" s="11" t="s">
        <v>14</v>
      </c>
      <c r="U90" s="2">
        <v>0</v>
      </c>
      <c r="V90" s="12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3" t="s">
        <v>415</v>
      </c>
      <c r="B91" s="3" t="s">
        <v>418</v>
      </c>
      <c r="C91" s="56">
        <f>(HearingAids[[#This Row],[haMSRP]]*2)+HearingAids[[#This Row],[chargerPrice]]</f>
        <v>9683</v>
      </c>
      <c r="D91" s="39">
        <v>4679</v>
      </c>
      <c r="E91" s="52" t="s">
        <v>538</v>
      </c>
      <c r="F91" s="39">
        <f>HearingAids[[#This Row],[haMSRP]]-((HearingAids[[#This Row],[ListPriceBinural]]-HearingAids[[#This Row],[chargerPrice]])/2)</f>
        <v>666.5</v>
      </c>
      <c r="G91" s="39">
        <f>HearingAids[[#This Row],[haMSRP]]-HearingAids[[#This Row],[Discount Amount 1]]</f>
        <v>4012.5</v>
      </c>
      <c r="H91" s="116">
        <v>8350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1330</v>
      </c>
      <c r="K91" s="2">
        <f>HearingAids[[#This Row],[HAListPrice]]-HearingAids[[#This Row],[Discount Amount 2]]</f>
        <v>2682.5</v>
      </c>
      <c r="L91" s="116">
        <v>5690</v>
      </c>
      <c r="M91" s="2"/>
      <c r="N91" s="2"/>
      <c r="O91" s="2"/>
      <c r="P91" s="2"/>
      <c r="Q91" s="15">
        <v>1</v>
      </c>
      <c r="R91" s="2" t="s">
        <v>13</v>
      </c>
      <c r="S91" s="40">
        <v>325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38" t="s">
        <v>500</v>
      </c>
      <c r="B92" s="47" t="s">
        <v>507</v>
      </c>
      <c r="C92" s="53">
        <f>(HearingAids[[#This Row],[haMSRP]]*2)+HearingAids[[#This Row],[chargerPrice]]</f>
        <v>4903</v>
      </c>
      <c r="D92" s="39">
        <v>2339</v>
      </c>
      <c r="E92" s="52" t="s">
        <v>538</v>
      </c>
      <c r="F92" s="39">
        <f>HearingAids[[#This Row],[haMSRP]]-((HearingAids[[#This Row],[ListPriceBinural]]-HearingAids[[#This Row],[chargerPrice]])/2)</f>
        <v>701.5</v>
      </c>
      <c r="G92" s="39">
        <f>HearingAids[[#This Row],[haMSRP]]-HearingAids[[#This Row],[Discount Amount 1]]</f>
        <v>1637.5</v>
      </c>
      <c r="H92" s="117">
        <v>3500</v>
      </c>
      <c r="I92" s="4" t="s">
        <v>48</v>
      </c>
      <c r="J92" s="2">
        <f>(HearingAids[[#This Row],[haMSRP]]-HearingAids[[#This Row],[Discount Amount 1]])-(HearingAids[[#This Row],[haNetPriceBinural]]-HearingAids[[#This Row],[chargerPrice]])/2</f>
        <v>55</v>
      </c>
      <c r="K92" s="2">
        <f>HearingAids[[#This Row],[HAListPrice]]-HearingAids[[#This Row],[Discount Amount 2]]</f>
        <v>1582.5</v>
      </c>
      <c r="L92" s="117">
        <v>3390</v>
      </c>
      <c r="M92" s="2"/>
      <c r="N92" s="2"/>
      <c r="O92" s="2"/>
      <c r="P92" s="22"/>
      <c r="Q92" s="23">
        <v>1</v>
      </c>
      <c r="R92" s="122" t="s">
        <v>9</v>
      </c>
      <c r="S92" s="22">
        <v>225</v>
      </c>
      <c r="T92" s="24" t="s">
        <v>26</v>
      </c>
      <c r="U92" s="25">
        <v>0</v>
      </c>
      <c r="V92" s="25" t="s">
        <v>11</v>
      </c>
      <c r="W92" s="7"/>
      <c r="Y92" s="25"/>
      <c r="Z92" s="25"/>
      <c r="AA92" s="25"/>
      <c r="AB92"/>
      <c r="AC92"/>
      <c r="AD92"/>
      <c r="AE92"/>
    </row>
    <row r="93" spans="1:31" ht="12.75">
      <c r="A93" s="3" t="s">
        <v>413</v>
      </c>
      <c r="B93" s="37" t="s">
        <v>416</v>
      </c>
      <c r="C93" s="54">
        <f>(HearingAids[[#This Row],[haMSRP]]*2)+HearingAids[[#This Row],[chargerPrice]]</f>
        <v>11963</v>
      </c>
      <c r="D93" s="39">
        <v>5819</v>
      </c>
      <c r="E93" s="52" t="s">
        <v>538</v>
      </c>
      <c r="F93" s="39">
        <f>HearingAids[[#This Row],[haMSRP]]-((HearingAids[[#This Row],[ListPriceBinural]]-HearingAids[[#This Row],[chargerPrice]])/2)</f>
        <v>1256.5</v>
      </c>
      <c r="G93" s="39">
        <f>HearingAids[[#This Row],[haMSRP]]-HearingAids[[#This Row],[Discount Amount 1]]</f>
        <v>4562.5</v>
      </c>
      <c r="H93" s="116">
        <v>9450</v>
      </c>
      <c r="I93" s="4" t="s">
        <v>48</v>
      </c>
      <c r="J93" s="2">
        <f>(HearingAids[[#This Row],[haMSRP]]-HearingAids[[#This Row],[Discount Amount 1]])-(HearingAids[[#This Row],[haNetPriceBinural]]-HearingAids[[#This Row],[chargerPrice]])/2</f>
        <v>1380</v>
      </c>
      <c r="K93" s="2">
        <f>HearingAids[[#This Row],[HAListPrice]]-HearingAids[[#This Row],[Discount Amount 2]]</f>
        <v>3182.5</v>
      </c>
      <c r="L93" s="116">
        <v>6690</v>
      </c>
      <c r="M93" s="2"/>
      <c r="N93" s="2"/>
      <c r="O93" s="2"/>
      <c r="P93" s="2"/>
      <c r="Q93" s="15">
        <v>1</v>
      </c>
      <c r="R93" s="2" t="s">
        <v>13</v>
      </c>
      <c r="S93" s="40">
        <v>325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3" t="s">
        <v>414</v>
      </c>
      <c r="B94" s="3" t="s">
        <v>417</v>
      </c>
      <c r="C94" s="56">
        <f>(HearingAids[[#This Row],[haMSRP]]*2)+HearingAids[[#This Row],[chargerPrice]]</f>
        <v>7703</v>
      </c>
      <c r="D94" s="39">
        <v>3689</v>
      </c>
      <c r="E94" s="52" t="s">
        <v>538</v>
      </c>
      <c r="F94" s="39">
        <f>HearingAids[[#This Row],[haMSRP]]-((HearingAids[[#This Row],[ListPriceBinural]]-HearingAids[[#This Row],[chargerPrice]])/2)</f>
        <v>326.5</v>
      </c>
      <c r="G94" s="39">
        <f>HearingAids[[#This Row],[haMSRP]]-HearingAids[[#This Row],[Discount Amount 1]]</f>
        <v>3362.5</v>
      </c>
      <c r="H94" s="116">
        <v>7050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1080</v>
      </c>
      <c r="K94" s="2">
        <f>HearingAids[[#This Row],[HAListPrice]]-HearingAids[[#This Row],[Discount Amount 2]]</f>
        <v>2282.5</v>
      </c>
      <c r="L94" s="116">
        <v>4890</v>
      </c>
      <c r="M94" s="2"/>
      <c r="N94" s="2"/>
      <c r="O94" s="2"/>
      <c r="P94" s="2"/>
      <c r="Q94" s="15">
        <v>1</v>
      </c>
      <c r="R94" s="2" t="s">
        <v>13</v>
      </c>
      <c r="S94" s="40">
        <v>325</v>
      </c>
      <c r="T94" s="11" t="s">
        <v>14</v>
      </c>
      <c r="U94" s="2">
        <v>0</v>
      </c>
      <c r="V94" s="12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" t="s">
        <v>415</v>
      </c>
      <c r="B95" s="3" t="s">
        <v>418</v>
      </c>
      <c r="C95" s="56">
        <f>(HearingAids[[#This Row],[haMSRP]]*2)+HearingAids[[#This Row],[chargerPrice]]</f>
        <v>9683</v>
      </c>
      <c r="D95" s="39">
        <v>4679</v>
      </c>
      <c r="E95" s="52" t="s">
        <v>538</v>
      </c>
      <c r="F95" s="39">
        <f>HearingAids[[#This Row],[haMSRP]]-((HearingAids[[#This Row],[ListPriceBinural]]-HearingAids[[#This Row],[chargerPrice]])/2)</f>
        <v>666.5</v>
      </c>
      <c r="G95" s="39">
        <f>HearingAids[[#This Row],[haMSRP]]-HearingAids[[#This Row],[Discount Amount 1]]</f>
        <v>4012.5</v>
      </c>
      <c r="H95" s="116">
        <v>8350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1330</v>
      </c>
      <c r="K95" s="2">
        <f>HearingAids[[#This Row],[HAListPrice]]-HearingAids[[#This Row],[Discount Amount 2]]</f>
        <v>2682.5</v>
      </c>
      <c r="L95" s="116">
        <v>5690</v>
      </c>
      <c r="M95" s="2"/>
      <c r="N95" s="2"/>
      <c r="O95" s="2"/>
      <c r="P95" s="2"/>
      <c r="Q95" s="15">
        <v>1</v>
      </c>
      <c r="R95" s="2" t="s">
        <v>13</v>
      </c>
      <c r="S95" s="40">
        <v>325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8" t="s">
        <v>500</v>
      </c>
      <c r="B96" s="47" t="s">
        <v>507</v>
      </c>
      <c r="C96" s="53">
        <f>(HearingAids[[#This Row],[haMSRP]]*2)+HearingAids[[#This Row],[chargerPrice]]</f>
        <v>4903</v>
      </c>
      <c r="D96" s="39">
        <v>2339</v>
      </c>
      <c r="E96" s="52" t="s">
        <v>538</v>
      </c>
      <c r="F96" s="39">
        <f>HearingAids[[#This Row],[haMSRP]]-((HearingAids[[#This Row],[ListPriceBinural]]-HearingAids[[#This Row],[chargerPrice]])/2)</f>
        <v>701.5</v>
      </c>
      <c r="G96" s="39">
        <f>HearingAids[[#This Row],[haMSRP]]-HearingAids[[#This Row],[Discount Amount 1]]</f>
        <v>1637.5</v>
      </c>
      <c r="H96" s="117">
        <v>3500</v>
      </c>
      <c r="I96" s="4" t="s">
        <v>170</v>
      </c>
      <c r="J96" s="2">
        <f>(HearingAids[[#This Row],[haMSRP]]-HearingAids[[#This Row],[Discount Amount 1]])-(HearingAids[[#This Row],[haNetPriceBinural]]-HearingAids[[#This Row],[chargerPrice]])/2</f>
        <v>55</v>
      </c>
      <c r="K96" s="2">
        <f>HearingAids[[#This Row],[HAListPrice]]-HearingAids[[#This Row],[Discount Amount 2]]</f>
        <v>1582.5</v>
      </c>
      <c r="L96" s="117">
        <v>3390</v>
      </c>
      <c r="M96" s="2"/>
      <c r="N96" s="2"/>
      <c r="O96" s="2"/>
      <c r="P96" s="22"/>
      <c r="Q96" s="15">
        <v>1</v>
      </c>
      <c r="R96" s="123" t="s">
        <v>9</v>
      </c>
      <c r="S96" s="22">
        <v>225</v>
      </c>
      <c r="T96" s="10" t="s">
        <v>26</v>
      </c>
      <c r="U96" s="10">
        <v>0</v>
      </c>
      <c r="V96" s="8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413</v>
      </c>
      <c r="B97" s="37" t="s">
        <v>416</v>
      </c>
      <c r="C97" s="54">
        <f>(HearingAids[[#This Row],[haMSRP]]*2)+HearingAids[[#This Row],[chargerPrice]]</f>
        <v>11963</v>
      </c>
      <c r="D97" s="39">
        <v>5819</v>
      </c>
      <c r="E97" s="52" t="s">
        <v>538</v>
      </c>
      <c r="F97" s="39">
        <f>HearingAids[[#This Row],[haMSRP]]-((HearingAids[[#This Row],[ListPriceBinural]]-HearingAids[[#This Row],[chargerPrice]])/2)</f>
        <v>1256.5</v>
      </c>
      <c r="G97" s="39">
        <f>HearingAids[[#This Row],[haMSRP]]-HearingAids[[#This Row],[Discount Amount 1]]</f>
        <v>4562.5</v>
      </c>
      <c r="H97" s="116">
        <v>9450</v>
      </c>
      <c r="I97" s="4" t="s">
        <v>170</v>
      </c>
      <c r="J97" s="2">
        <f>(HearingAids[[#This Row],[haMSRP]]-HearingAids[[#This Row],[Discount Amount 1]])-(HearingAids[[#This Row],[haNetPriceBinural]]-HearingAids[[#This Row],[chargerPrice]])/2</f>
        <v>1380</v>
      </c>
      <c r="K97" s="2">
        <f>HearingAids[[#This Row],[HAListPrice]]-HearingAids[[#This Row],[Discount Amount 2]]</f>
        <v>3182.5</v>
      </c>
      <c r="L97" s="116">
        <v>6690</v>
      </c>
      <c r="M97" s="2"/>
      <c r="N97" s="2"/>
      <c r="O97" s="2"/>
      <c r="P97" s="2"/>
      <c r="Q97" s="15">
        <v>1</v>
      </c>
      <c r="R97" s="2" t="s">
        <v>13</v>
      </c>
      <c r="S97" s="40">
        <v>325</v>
      </c>
      <c r="T97" s="11" t="s">
        <v>14</v>
      </c>
      <c r="U97" s="2">
        <v>0</v>
      </c>
      <c r="V97" s="12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414</v>
      </c>
      <c r="B98" s="3" t="s">
        <v>417</v>
      </c>
      <c r="C98" s="56">
        <f>(HearingAids[[#This Row],[haMSRP]]*2)+HearingAids[[#This Row],[chargerPrice]]</f>
        <v>7703</v>
      </c>
      <c r="D98" s="39">
        <v>3689</v>
      </c>
      <c r="E98" s="52" t="s">
        <v>538</v>
      </c>
      <c r="F98" s="39">
        <f>HearingAids[[#This Row],[haMSRP]]-((HearingAids[[#This Row],[ListPriceBinural]]-HearingAids[[#This Row],[chargerPrice]])/2)</f>
        <v>326.5</v>
      </c>
      <c r="G98" s="39">
        <f>HearingAids[[#This Row],[haMSRP]]-HearingAids[[#This Row],[Discount Amount 1]]</f>
        <v>3362.5</v>
      </c>
      <c r="H98" s="116">
        <v>7050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1080</v>
      </c>
      <c r="K98" s="2">
        <f>HearingAids[[#This Row],[HAListPrice]]-HearingAids[[#This Row],[Discount Amount 2]]</f>
        <v>2282.5</v>
      </c>
      <c r="L98" s="116">
        <v>4890</v>
      </c>
      <c r="M98" s="2"/>
      <c r="N98" s="2"/>
      <c r="O98" s="2"/>
      <c r="P98" s="2"/>
      <c r="Q98" s="15">
        <v>1</v>
      </c>
      <c r="R98" s="2" t="s">
        <v>13</v>
      </c>
      <c r="S98" s="40">
        <v>325</v>
      </c>
      <c r="T98" s="11" t="s">
        <v>14</v>
      </c>
      <c r="U98" s="2">
        <v>0</v>
      </c>
      <c r="V98" s="12" t="s">
        <v>11</v>
      </c>
      <c r="Y98" s="25"/>
      <c r="Z98" s="25"/>
      <c r="AA98" s="25"/>
      <c r="AB98"/>
      <c r="AC98"/>
      <c r="AD98"/>
      <c r="AE98"/>
    </row>
    <row r="99" spans="1:31" ht="12.75">
      <c r="A99" s="3" t="s">
        <v>415</v>
      </c>
      <c r="B99" s="3" t="s">
        <v>418</v>
      </c>
      <c r="C99" s="56">
        <f>(HearingAids[[#This Row],[haMSRP]]*2)+HearingAids[[#This Row],[chargerPrice]]</f>
        <v>9683</v>
      </c>
      <c r="D99" s="39">
        <v>4679</v>
      </c>
      <c r="E99" s="52" t="s">
        <v>538</v>
      </c>
      <c r="F99" s="39">
        <f>HearingAids[[#This Row],[haMSRP]]-((HearingAids[[#This Row],[ListPriceBinural]]-HearingAids[[#This Row],[chargerPrice]])/2)</f>
        <v>1166.5</v>
      </c>
      <c r="G99" s="39">
        <f>HearingAids[[#This Row],[haMSRP]]-HearingAids[[#This Row],[Discount Amount 1]]</f>
        <v>3512.5</v>
      </c>
      <c r="H99" s="116">
        <v>7350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830</v>
      </c>
      <c r="K99" s="2">
        <f>HearingAids[[#This Row],[HAListPrice]]-HearingAids[[#This Row],[Discount Amount 2]]</f>
        <v>2682.5</v>
      </c>
      <c r="L99" s="116">
        <v>5690</v>
      </c>
      <c r="M99" s="2"/>
      <c r="N99" s="2"/>
      <c r="O99" s="2"/>
      <c r="P99" s="2"/>
      <c r="Q99" s="15">
        <v>1</v>
      </c>
      <c r="R99" s="2" t="s">
        <v>13</v>
      </c>
      <c r="S99" s="40">
        <v>325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51</v>
      </c>
      <c r="B100" s="47" t="s">
        <v>520</v>
      </c>
      <c r="C100" s="53">
        <f>(HearingAids[[#This Row],[haMSRP]]*2)+HearingAids[[#This Row],[chargerPrice]]</f>
        <v>11638</v>
      </c>
      <c r="D100" s="39">
        <v>5819</v>
      </c>
      <c r="E100" s="52" t="s">
        <v>538</v>
      </c>
      <c r="F100" s="39">
        <f>HearingAids[[#This Row],[haMSRP]]-((HearingAids[[#This Row],[ListPriceBinural]]-HearingAids[[#This Row],[chargerPrice]])/2)</f>
        <v>1094</v>
      </c>
      <c r="G100" s="39">
        <f>HearingAids[[#This Row],[haMSRP]]-HearingAids[[#This Row],[Discount Amount 1]]</f>
        <v>4725</v>
      </c>
      <c r="H100" s="116">
        <v>9450</v>
      </c>
      <c r="I100" s="48" t="s">
        <v>539</v>
      </c>
      <c r="J100" s="2">
        <f>(HearingAids[[#This Row],[haMSRP]]-HearingAids[[#This Row],[Discount Amount 1]])-(HearingAids[[#This Row],[haNetPriceBinural]]-HearingAids[[#This Row],[chargerPrice]])/2</f>
        <v>500</v>
      </c>
      <c r="K100" s="2">
        <f>HearingAids[[#This Row],[HAListPrice]]-HearingAids[[#This Row],[Discount Amount 2]]</f>
        <v>4225</v>
      </c>
      <c r="L100" s="116">
        <v>8450</v>
      </c>
      <c r="M100" s="2"/>
      <c r="N100" s="2"/>
      <c r="O100" s="2"/>
      <c r="P100" s="40"/>
      <c r="Q100" s="15">
        <v>1</v>
      </c>
      <c r="R100" s="2" t="s">
        <v>16</v>
      </c>
      <c r="S100" s="2">
        <v>0</v>
      </c>
      <c r="T100" s="10" t="s">
        <v>10</v>
      </c>
      <c r="U100" s="7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52</v>
      </c>
      <c r="B101" s="47" t="s">
        <v>532</v>
      </c>
      <c r="C101" s="53">
        <f>(HearingAids[[#This Row],[haMSRP]]*2)+HearingAids[[#This Row],[chargerPrice]]</f>
        <v>11638</v>
      </c>
      <c r="D101" s="39">
        <v>5819</v>
      </c>
      <c r="E101" s="52" t="s">
        <v>538</v>
      </c>
      <c r="F101" s="39">
        <f>HearingAids[[#This Row],[haMSRP]]-((HearingAids[[#This Row],[ListPriceBinural]]-HearingAids[[#This Row],[chargerPrice]])/2)</f>
        <v>1094</v>
      </c>
      <c r="G101" s="39">
        <f>HearingAids[[#This Row],[haMSRP]]-HearingAids[[#This Row],[Discount Amount 1]]</f>
        <v>4725</v>
      </c>
      <c r="H101" s="116">
        <v>9450</v>
      </c>
      <c r="I101" s="48" t="s">
        <v>539</v>
      </c>
      <c r="J101" s="2">
        <f>(HearingAids[[#This Row],[haMSRP]]-HearingAids[[#This Row],[Discount Amount 1]])-(HearingAids[[#This Row],[haNetPriceBinural]]-HearingAids[[#This Row],[chargerPrice]])/2</f>
        <v>500</v>
      </c>
      <c r="K101" s="2">
        <f>HearingAids[[#This Row],[HAListPrice]]-HearingAids[[#This Row],[Discount Amount 2]]</f>
        <v>4225</v>
      </c>
      <c r="L101" s="116">
        <v>8450</v>
      </c>
      <c r="M101" s="2"/>
      <c r="N101" s="2"/>
      <c r="O101" s="2"/>
      <c r="P101" s="40"/>
      <c r="Q101" s="15">
        <v>1</v>
      </c>
      <c r="R101" s="2" t="s">
        <v>16</v>
      </c>
      <c r="S101" s="2">
        <v>0</v>
      </c>
      <c r="T101" s="10" t="s">
        <v>10</v>
      </c>
      <c r="U101" s="7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53</v>
      </c>
      <c r="B102" s="47" t="s">
        <v>533</v>
      </c>
      <c r="C102" s="53">
        <f>(HearingAids[[#This Row],[haMSRP]]*2)+HearingAids[[#This Row],[chargerPrice]]</f>
        <v>7378</v>
      </c>
      <c r="D102" s="39">
        <v>3689</v>
      </c>
      <c r="E102" s="52" t="s">
        <v>538</v>
      </c>
      <c r="F102" s="39">
        <f>HearingAids[[#This Row],[haMSRP]]-((HearingAids[[#This Row],[ListPriceBinural]]-HearingAids[[#This Row],[chargerPrice]])/2)</f>
        <v>164</v>
      </c>
      <c r="G102" s="39">
        <f>HearingAids[[#This Row],[haMSRP]]-HearingAids[[#This Row],[Discount Amount 1]]</f>
        <v>3525</v>
      </c>
      <c r="H102" s="116">
        <v>7050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3025</v>
      </c>
      <c r="L102" s="116">
        <v>6050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" t="s">
        <v>54</v>
      </c>
      <c r="B103" s="47" t="s">
        <v>534</v>
      </c>
      <c r="C103" s="53">
        <f>(HearingAids[[#This Row],[haMSRP]]*2)+HearingAids[[#This Row],[chargerPrice]]</f>
        <v>7378</v>
      </c>
      <c r="D103" s="39">
        <v>3689</v>
      </c>
      <c r="E103" s="52" t="s">
        <v>538</v>
      </c>
      <c r="F103" s="39">
        <f>HearingAids[[#This Row],[haMSRP]]-((HearingAids[[#This Row],[ListPriceBinural]]-HearingAids[[#This Row],[chargerPrice]])/2)</f>
        <v>164</v>
      </c>
      <c r="G103" s="39">
        <f>HearingAids[[#This Row],[haMSRP]]-HearingAids[[#This Row],[Discount Amount 1]]</f>
        <v>3525</v>
      </c>
      <c r="H103" s="116">
        <v>7050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3025</v>
      </c>
      <c r="L103" s="116">
        <v>6050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55</v>
      </c>
      <c r="B104" s="47" t="s">
        <v>535</v>
      </c>
      <c r="C104" s="53">
        <f>(HearingAids[[#This Row],[haMSRP]]*2)+HearingAids[[#This Row],[chargerPrice]]</f>
        <v>9358</v>
      </c>
      <c r="D104" s="39">
        <v>4679</v>
      </c>
      <c r="E104" s="52" t="s">
        <v>538</v>
      </c>
      <c r="F104" s="39">
        <f>HearingAids[[#This Row],[haMSRP]]-((HearingAids[[#This Row],[ListPriceBinural]]-HearingAids[[#This Row],[chargerPrice]])/2)</f>
        <v>504</v>
      </c>
      <c r="G104" s="39">
        <f>HearingAids[[#This Row],[haMSRP]]-HearingAids[[#This Row],[Discount Amount 1]]</f>
        <v>4175</v>
      </c>
      <c r="H104" s="116">
        <v>8350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3675</v>
      </c>
      <c r="L104" s="116">
        <v>7350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56</v>
      </c>
      <c r="B105" s="47" t="s">
        <v>536</v>
      </c>
      <c r="C105" s="53">
        <f>(HearingAids[[#This Row],[haMSRP]]*2)+HearingAids[[#This Row],[chargerPrice]]</f>
        <v>9358</v>
      </c>
      <c r="D105" s="39">
        <v>4679</v>
      </c>
      <c r="E105" s="52" t="s">
        <v>538</v>
      </c>
      <c r="F105" s="39">
        <f>HearingAids[[#This Row],[haMSRP]]-((HearingAids[[#This Row],[ListPriceBinural]]-HearingAids[[#This Row],[chargerPrice]])/2)</f>
        <v>504</v>
      </c>
      <c r="G105" s="39">
        <f>HearingAids[[#This Row],[haMSRP]]-HearingAids[[#This Row],[Discount Amount 1]]</f>
        <v>4175</v>
      </c>
      <c r="H105" s="116">
        <v>8350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3675</v>
      </c>
      <c r="L105" s="116">
        <v>7350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8" t="s">
        <v>496</v>
      </c>
      <c r="B106" s="47" t="s">
        <v>503</v>
      </c>
      <c r="C106" s="53">
        <f>(HearingAids[[#This Row],[haMSRP]]*2)+HearingAids[[#This Row],[chargerPrice]]</f>
        <v>11963</v>
      </c>
      <c r="D106" s="39">
        <v>5819</v>
      </c>
      <c r="E106" s="52" t="s">
        <v>538</v>
      </c>
      <c r="F106" s="39">
        <f>HearingAids[[#This Row],[haMSRP]]-((HearingAids[[#This Row],[ListPriceBinural]]-HearingAids[[#This Row],[chargerPrice]])/2)</f>
        <v>1256.5</v>
      </c>
      <c r="G106" s="39">
        <f>HearingAids[[#This Row],[haMSRP]]-HearingAids[[#This Row],[Discount Amount 1]]</f>
        <v>4562.5</v>
      </c>
      <c r="H106" s="116">
        <v>9450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4062.5</v>
      </c>
      <c r="L106" s="116">
        <v>8450</v>
      </c>
      <c r="M106" s="2"/>
      <c r="N106" s="2"/>
      <c r="O106" s="2"/>
      <c r="P106" s="40"/>
      <c r="Q106" s="41">
        <v>1</v>
      </c>
      <c r="R106" s="40" t="s">
        <v>13</v>
      </c>
      <c r="S106" s="40">
        <v>325</v>
      </c>
      <c r="T106" s="42" t="s">
        <v>14</v>
      </c>
      <c r="U106" s="43">
        <v>0</v>
      </c>
      <c r="V106" s="39" t="s">
        <v>11</v>
      </c>
      <c r="Y106" s="25"/>
      <c r="Z106" s="25"/>
      <c r="AA106" s="25"/>
      <c r="AB106"/>
      <c r="AC106"/>
      <c r="AD106"/>
      <c r="AE106"/>
    </row>
    <row r="107" spans="1:31" ht="12.75">
      <c r="A107" s="38" t="s">
        <v>498</v>
      </c>
      <c r="B107" s="46" t="s">
        <v>505</v>
      </c>
      <c r="C107" s="55">
        <f>(HearingAids[[#This Row],[haMSRP]]*2)+HearingAids[[#This Row],[chargerPrice]]</f>
        <v>7703</v>
      </c>
      <c r="D107" s="39">
        <v>3689</v>
      </c>
      <c r="E107" s="52" t="s">
        <v>538</v>
      </c>
      <c r="F107" s="39">
        <f>HearingAids[[#This Row],[haMSRP]]-((HearingAids[[#This Row],[ListPriceBinural]]-HearingAids[[#This Row],[chargerPrice]])/2)</f>
        <v>326.5</v>
      </c>
      <c r="G107" s="39">
        <f>HearingAids[[#This Row],[haMSRP]]-HearingAids[[#This Row],[Discount Amount 1]]</f>
        <v>3362.5</v>
      </c>
      <c r="H107" s="116">
        <v>7050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2862.5</v>
      </c>
      <c r="L107" s="116">
        <v>6050</v>
      </c>
      <c r="M107" s="2"/>
      <c r="N107" s="2"/>
      <c r="O107" s="2"/>
      <c r="P107" s="40"/>
      <c r="Q107" s="41">
        <v>1</v>
      </c>
      <c r="R107" s="40" t="s">
        <v>13</v>
      </c>
      <c r="S107" s="40">
        <v>325</v>
      </c>
      <c r="T107" s="42" t="s">
        <v>14</v>
      </c>
      <c r="U107" s="43">
        <v>0</v>
      </c>
      <c r="V107" s="39" t="s">
        <v>11</v>
      </c>
      <c r="Y107" s="25"/>
      <c r="Z107" s="25"/>
      <c r="AA107" s="25"/>
      <c r="AB107"/>
      <c r="AC107"/>
      <c r="AD107"/>
      <c r="AE107"/>
    </row>
    <row r="108" spans="1:31" ht="12.75">
      <c r="A108" s="38" t="s">
        <v>497</v>
      </c>
      <c r="B108" s="47" t="s">
        <v>504</v>
      </c>
      <c r="C108" s="53">
        <f>(HearingAids[[#This Row],[haMSRP]]*2)+HearingAids[[#This Row],[chargerPrice]]</f>
        <v>9683</v>
      </c>
      <c r="D108" s="39">
        <v>4679</v>
      </c>
      <c r="E108" s="52" t="s">
        <v>538</v>
      </c>
      <c r="F108" s="39">
        <f>HearingAids[[#This Row],[haMSRP]]-((HearingAids[[#This Row],[ListPriceBinural]]-HearingAids[[#This Row],[chargerPrice]])/2)</f>
        <v>666.5</v>
      </c>
      <c r="G108" s="39">
        <f>HearingAids[[#This Row],[haMSRP]]-HearingAids[[#This Row],[Discount Amount 1]]</f>
        <v>4012.5</v>
      </c>
      <c r="H108" s="116">
        <v>8350</v>
      </c>
      <c r="I108" s="63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3512.5</v>
      </c>
      <c r="L108" s="116">
        <v>7350</v>
      </c>
      <c r="M108" s="2"/>
      <c r="N108" s="2"/>
      <c r="O108" s="2"/>
      <c r="P108" s="40"/>
      <c r="Q108" s="41">
        <v>1</v>
      </c>
      <c r="R108" s="40" t="s">
        <v>13</v>
      </c>
      <c r="S108" s="40">
        <v>325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413</v>
      </c>
      <c r="B109" s="37" t="s">
        <v>416</v>
      </c>
      <c r="C109" s="54">
        <f>(HearingAids[[#This Row],[haMSRP]]*2)+HearingAids[[#This Row],[chargerPrice]]</f>
        <v>11963</v>
      </c>
      <c r="D109" s="39">
        <v>5819</v>
      </c>
      <c r="E109" s="52" t="s">
        <v>538</v>
      </c>
      <c r="F109" s="39">
        <f>HearingAids[[#This Row],[haMSRP]]-((HearingAids[[#This Row],[ListPriceBinural]]-HearingAids[[#This Row],[chargerPrice]])/2)</f>
        <v>1256.5</v>
      </c>
      <c r="G109" s="39">
        <f>HearingAids[[#This Row],[haMSRP]]-HearingAids[[#This Row],[Discount Amount 1]]</f>
        <v>4562.5</v>
      </c>
      <c r="H109" s="116">
        <v>9450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4062.5</v>
      </c>
      <c r="L109" s="116">
        <v>8450</v>
      </c>
      <c r="M109" s="2"/>
      <c r="N109" s="2"/>
      <c r="O109" s="2"/>
      <c r="P109" s="40"/>
      <c r="Q109" s="15">
        <v>1</v>
      </c>
      <c r="R109" s="2" t="s">
        <v>13</v>
      </c>
      <c r="S109" s="40">
        <v>325</v>
      </c>
      <c r="T109" s="11" t="s">
        <v>14</v>
      </c>
      <c r="U109" s="2">
        <v>0</v>
      </c>
      <c r="V109" s="12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414</v>
      </c>
      <c r="B110" s="47" t="s">
        <v>417</v>
      </c>
      <c r="C110" s="53">
        <f>(HearingAids[[#This Row],[haMSRP]]*2)+HearingAids[[#This Row],[chargerPrice]]</f>
        <v>7703</v>
      </c>
      <c r="D110" s="39">
        <v>3689</v>
      </c>
      <c r="E110" s="52" t="s">
        <v>538</v>
      </c>
      <c r="F110" s="39">
        <f>HearingAids[[#This Row],[haMSRP]]-((HearingAids[[#This Row],[ListPriceBinural]]-HearingAids[[#This Row],[chargerPrice]])/2)</f>
        <v>326.5</v>
      </c>
      <c r="G110" s="39">
        <f>HearingAids[[#This Row],[haMSRP]]-HearingAids[[#This Row],[Discount Amount 1]]</f>
        <v>3362.5</v>
      </c>
      <c r="H110" s="116">
        <v>7050</v>
      </c>
      <c r="I110" s="48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2862.5</v>
      </c>
      <c r="L110" s="116">
        <v>6050</v>
      </c>
      <c r="M110" s="2"/>
      <c r="N110" s="2"/>
      <c r="O110" s="2"/>
      <c r="P110" s="40"/>
      <c r="Q110" s="15">
        <v>1</v>
      </c>
      <c r="R110" s="2" t="s">
        <v>13</v>
      </c>
      <c r="S110" s="40">
        <v>325</v>
      </c>
      <c r="T110" s="11" t="s">
        <v>14</v>
      </c>
      <c r="U110" s="2">
        <v>0</v>
      </c>
      <c r="V110" s="12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415</v>
      </c>
      <c r="B111" s="37" t="s">
        <v>418</v>
      </c>
      <c r="C111" s="54">
        <f>(HearingAids[[#This Row],[haMSRP]]*2)+HearingAids[[#This Row],[chargerPrice]]</f>
        <v>9683</v>
      </c>
      <c r="D111" s="39">
        <v>4679</v>
      </c>
      <c r="E111" s="52" t="s">
        <v>538</v>
      </c>
      <c r="F111" s="39">
        <f>HearingAids[[#This Row],[haMSRP]]-((HearingAids[[#This Row],[ListPriceBinural]]-HearingAids[[#This Row],[chargerPrice]])/2)</f>
        <v>666.5</v>
      </c>
      <c r="G111" s="39">
        <f>HearingAids[[#This Row],[haMSRP]]-HearingAids[[#This Row],[Discount Amount 1]]</f>
        <v>4012.5</v>
      </c>
      <c r="H111" s="116">
        <v>8350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3512.5</v>
      </c>
      <c r="L111" s="116">
        <v>7350</v>
      </c>
      <c r="M111" s="2"/>
      <c r="N111" s="2"/>
      <c r="O111" s="2"/>
      <c r="P111" s="40"/>
      <c r="Q111" s="15">
        <v>1</v>
      </c>
      <c r="R111" s="2" t="s">
        <v>13</v>
      </c>
      <c r="S111" s="40">
        <v>325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8" t="s">
        <v>500</v>
      </c>
      <c r="B112" s="47" t="s">
        <v>507</v>
      </c>
      <c r="C112" s="53">
        <f>(HearingAids[[#This Row],[haMSRP]]*2)+HearingAids[[#This Row],[chargerPrice]]</f>
        <v>4903</v>
      </c>
      <c r="D112" s="39">
        <v>2339</v>
      </c>
      <c r="E112" s="52" t="s">
        <v>538</v>
      </c>
      <c r="F112" s="39">
        <f>HearingAids[[#This Row],[haMSRP]]-((HearingAids[[#This Row],[ListPriceBinural]]-HearingAids[[#This Row],[chargerPrice]])/2)</f>
        <v>701.5</v>
      </c>
      <c r="G112" s="39">
        <f>HearingAids[[#This Row],[haMSRP]]-HearingAids[[#This Row],[Discount Amount 1]]</f>
        <v>1637.5</v>
      </c>
      <c r="H112" s="117">
        <v>3500</v>
      </c>
      <c r="I112" s="4" t="s">
        <v>49</v>
      </c>
      <c r="J112" s="2">
        <f>(HearingAids[[#This Row],[haMSRP]]-HearingAids[[#This Row],[Discount Amount 1]])-(HearingAids[[#This Row],[haNetPriceBinural]]-HearingAids[[#This Row],[chargerPrice]])/2</f>
        <v>55</v>
      </c>
      <c r="K112" s="2">
        <f>HearingAids[[#This Row],[HAListPrice]]-HearingAids[[#This Row],[Discount Amount 2]]</f>
        <v>1582.5</v>
      </c>
      <c r="L112" s="117">
        <v>3390</v>
      </c>
      <c r="M112" s="2"/>
      <c r="N112" s="2"/>
      <c r="O112" s="2"/>
      <c r="P112" s="22"/>
      <c r="Q112" s="23">
        <v>1</v>
      </c>
      <c r="R112" s="122" t="s">
        <v>9</v>
      </c>
      <c r="S112" s="22">
        <v>225</v>
      </c>
      <c r="T112" s="24" t="s">
        <v>26</v>
      </c>
      <c r="U112" s="25">
        <v>0</v>
      </c>
      <c r="V112" s="25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413</v>
      </c>
      <c r="B113" s="37" t="s">
        <v>416</v>
      </c>
      <c r="C113" s="54">
        <f>(HearingAids[[#This Row],[haMSRP]]*2)+HearingAids[[#This Row],[chargerPrice]]</f>
        <v>11963</v>
      </c>
      <c r="D113" s="39">
        <v>5819</v>
      </c>
      <c r="E113" s="52" t="s">
        <v>538</v>
      </c>
      <c r="F113" s="39">
        <f>HearingAids[[#This Row],[haMSRP]]-((HearingAids[[#This Row],[ListPriceBinural]]-HearingAids[[#This Row],[chargerPrice]])/2)</f>
        <v>1256.5</v>
      </c>
      <c r="G113" s="39">
        <f>HearingAids[[#This Row],[haMSRP]]-HearingAids[[#This Row],[Discount Amount 1]]</f>
        <v>4562.5</v>
      </c>
      <c r="H113" s="116">
        <v>9450</v>
      </c>
      <c r="I113" s="4" t="s">
        <v>49</v>
      </c>
      <c r="J113" s="2">
        <f>(HearingAids[[#This Row],[haMSRP]]-HearingAids[[#This Row],[Discount Amount 1]])-(HearingAids[[#This Row],[haNetPriceBinural]]-HearingAids[[#This Row],[chargerPrice]])/2</f>
        <v>1380</v>
      </c>
      <c r="K113" s="2">
        <f>HearingAids[[#This Row],[HAListPrice]]-HearingAids[[#This Row],[Discount Amount 2]]</f>
        <v>3182.5</v>
      </c>
      <c r="L113" s="116">
        <v>6690</v>
      </c>
      <c r="M113" s="2"/>
      <c r="N113" s="2"/>
      <c r="O113" s="2"/>
      <c r="P113" s="2"/>
      <c r="Q113" s="15">
        <v>1</v>
      </c>
      <c r="R113" s="2" t="s">
        <v>13</v>
      </c>
      <c r="S113" s="40">
        <v>325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414</v>
      </c>
      <c r="B114" s="3" t="s">
        <v>417</v>
      </c>
      <c r="C114" s="56">
        <f>(HearingAids[[#This Row],[haMSRP]]*2)+HearingAids[[#This Row],[chargerPrice]]</f>
        <v>7703</v>
      </c>
      <c r="D114" s="39">
        <v>3689</v>
      </c>
      <c r="E114" s="52" t="s">
        <v>538</v>
      </c>
      <c r="F114" s="39">
        <f>HearingAids[[#This Row],[haMSRP]]-((HearingAids[[#This Row],[ListPriceBinural]]-HearingAids[[#This Row],[chargerPrice]])/2)</f>
        <v>326.5</v>
      </c>
      <c r="G114" s="39">
        <f>HearingAids[[#This Row],[haMSRP]]-HearingAids[[#This Row],[Discount Amount 1]]</f>
        <v>3362.5</v>
      </c>
      <c r="H114" s="116">
        <v>7050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1080</v>
      </c>
      <c r="K114" s="2">
        <f>HearingAids[[#This Row],[HAListPrice]]-HearingAids[[#This Row],[Discount Amount 2]]</f>
        <v>2282.5</v>
      </c>
      <c r="L114" s="116">
        <v>4890</v>
      </c>
      <c r="M114" s="2"/>
      <c r="N114" s="2"/>
      <c r="O114" s="2"/>
      <c r="P114" s="2"/>
      <c r="Q114" s="15">
        <v>1</v>
      </c>
      <c r="R114" s="2" t="s">
        <v>13</v>
      </c>
      <c r="S114" s="40">
        <v>325</v>
      </c>
      <c r="T114" s="11" t="s">
        <v>14</v>
      </c>
      <c r="U114" s="2">
        <v>0</v>
      </c>
      <c r="V114" s="12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415</v>
      </c>
      <c r="B115" s="3" t="s">
        <v>418</v>
      </c>
      <c r="C115" s="56">
        <f>(HearingAids[[#This Row],[haMSRP]]*2)+HearingAids[[#This Row],[chargerPrice]]</f>
        <v>9683</v>
      </c>
      <c r="D115" s="39">
        <v>4679</v>
      </c>
      <c r="E115" s="52" t="s">
        <v>538</v>
      </c>
      <c r="F115" s="39">
        <f>HearingAids[[#This Row],[haMSRP]]-((HearingAids[[#This Row],[ListPriceBinural]]-HearingAids[[#This Row],[chargerPrice]])/2)</f>
        <v>666.5</v>
      </c>
      <c r="G115" s="39">
        <f>HearingAids[[#This Row],[haMSRP]]-HearingAids[[#This Row],[Discount Amount 1]]</f>
        <v>4012.5</v>
      </c>
      <c r="H115" s="116">
        <v>8350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1330</v>
      </c>
      <c r="K115" s="2">
        <f>HearingAids[[#This Row],[HAListPrice]]-HearingAids[[#This Row],[Discount Amount 2]]</f>
        <v>2682.5</v>
      </c>
      <c r="L115" s="116">
        <v>5690</v>
      </c>
      <c r="M115" s="2"/>
      <c r="N115" s="2"/>
      <c r="O115" s="2"/>
      <c r="P115" s="2"/>
      <c r="Q115" s="15">
        <v>1</v>
      </c>
      <c r="R115" s="2" t="s">
        <v>13</v>
      </c>
      <c r="S115" s="40">
        <v>325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8" t="s">
        <v>500</v>
      </c>
      <c r="B116" s="47" t="s">
        <v>507</v>
      </c>
      <c r="C116" s="53">
        <f>(HearingAids[[#This Row],[haMSRP]]*2)+HearingAids[[#This Row],[chargerPrice]]</f>
        <v>4903</v>
      </c>
      <c r="D116" s="39">
        <v>2339</v>
      </c>
      <c r="E116" s="52" t="s">
        <v>538</v>
      </c>
      <c r="F116" s="39">
        <f>HearingAids[[#This Row],[haMSRP]]-((HearingAids[[#This Row],[ListPriceBinural]]-HearingAids[[#This Row],[chargerPrice]])/2)</f>
        <v>701.5</v>
      </c>
      <c r="G116" s="39">
        <f>HearingAids[[#This Row],[haMSRP]]-HearingAids[[#This Row],[Discount Amount 1]]</f>
        <v>1637.5</v>
      </c>
      <c r="H116" s="117">
        <v>3500</v>
      </c>
      <c r="I116" s="4" t="s">
        <v>50</v>
      </c>
      <c r="J116" s="2">
        <f>(HearingAids[[#This Row],[haMSRP]]-HearingAids[[#This Row],[Discount Amount 1]])-(HearingAids[[#This Row],[haNetPriceBinural]]-HearingAids[[#This Row],[chargerPrice]])/2</f>
        <v>55</v>
      </c>
      <c r="K116" s="2">
        <f>HearingAids[[#This Row],[HAListPrice]]-HearingAids[[#This Row],[Discount Amount 2]]</f>
        <v>1582.5</v>
      </c>
      <c r="L116" s="117">
        <v>3390</v>
      </c>
      <c r="M116" s="2"/>
      <c r="N116" s="2"/>
      <c r="O116" s="2"/>
      <c r="P116" s="22"/>
      <c r="Q116" s="23">
        <v>1</v>
      </c>
      <c r="R116" s="122" t="s">
        <v>9</v>
      </c>
      <c r="S116" s="22">
        <v>225</v>
      </c>
      <c r="T116" s="24" t="s">
        <v>26</v>
      </c>
      <c r="U116" s="25">
        <v>0</v>
      </c>
      <c r="V116" s="25" t="s">
        <v>11</v>
      </c>
      <c r="Y116" s="25"/>
      <c r="Z116" s="25"/>
      <c r="AA116" s="25"/>
      <c r="AB116"/>
      <c r="AC116"/>
      <c r="AD116"/>
      <c r="AE116"/>
    </row>
    <row r="117" spans="1:31" ht="12.75">
      <c r="A117" s="3" t="s">
        <v>413</v>
      </c>
      <c r="B117" s="37" t="s">
        <v>416</v>
      </c>
      <c r="C117" s="54">
        <f>(HearingAids[[#This Row],[haMSRP]]*2)+HearingAids[[#This Row],[chargerPrice]]</f>
        <v>11963</v>
      </c>
      <c r="D117" s="39">
        <v>5819</v>
      </c>
      <c r="E117" s="52" t="s">
        <v>538</v>
      </c>
      <c r="F117" s="39">
        <f>HearingAids[[#This Row],[haMSRP]]-((HearingAids[[#This Row],[ListPriceBinural]]-HearingAids[[#This Row],[chargerPrice]])/2)</f>
        <v>1256.5</v>
      </c>
      <c r="G117" s="39">
        <f>HearingAids[[#This Row],[haMSRP]]-HearingAids[[#This Row],[Discount Amount 1]]</f>
        <v>4562.5</v>
      </c>
      <c r="H117" s="116">
        <v>9450</v>
      </c>
      <c r="I117" s="4" t="s">
        <v>50</v>
      </c>
      <c r="J117" s="2">
        <f>(HearingAids[[#This Row],[haMSRP]]-HearingAids[[#This Row],[Discount Amount 1]])-(HearingAids[[#This Row],[haNetPriceBinural]]-HearingAids[[#This Row],[chargerPrice]])/2</f>
        <v>1380</v>
      </c>
      <c r="K117" s="2">
        <f>HearingAids[[#This Row],[HAListPrice]]-HearingAids[[#This Row],[Discount Amount 2]]</f>
        <v>3182.5</v>
      </c>
      <c r="L117" s="116">
        <v>6690</v>
      </c>
      <c r="M117" s="2"/>
      <c r="N117" s="2"/>
      <c r="O117" s="2"/>
      <c r="P117" s="2"/>
      <c r="Q117" s="15">
        <v>1</v>
      </c>
      <c r="R117" s="2" t="s">
        <v>13</v>
      </c>
      <c r="S117" s="40">
        <v>325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>
      <c r="A118" s="3" t="s">
        <v>414</v>
      </c>
      <c r="B118" s="3" t="s">
        <v>417</v>
      </c>
      <c r="C118" s="56">
        <f>(HearingAids[[#This Row],[haMSRP]]*2)+HearingAids[[#This Row],[chargerPrice]]</f>
        <v>7703</v>
      </c>
      <c r="D118" s="39">
        <v>3689</v>
      </c>
      <c r="E118" s="52" t="s">
        <v>538</v>
      </c>
      <c r="F118" s="39">
        <f>HearingAids[[#This Row],[haMSRP]]-((HearingAids[[#This Row],[ListPriceBinural]]-HearingAids[[#This Row],[chargerPrice]])/2)</f>
        <v>326.5</v>
      </c>
      <c r="G118" s="39">
        <f>HearingAids[[#This Row],[haMSRP]]-HearingAids[[#This Row],[Discount Amount 1]]</f>
        <v>3362.5</v>
      </c>
      <c r="H118" s="116">
        <v>7050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1080</v>
      </c>
      <c r="K118" s="2">
        <f>HearingAids[[#This Row],[HAListPrice]]-HearingAids[[#This Row],[Discount Amount 2]]</f>
        <v>2282.5</v>
      </c>
      <c r="L118" s="116">
        <v>4890</v>
      </c>
      <c r="M118" s="2"/>
      <c r="N118" s="2"/>
      <c r="O118" s="2"/>
      <c r="P118" s="2"/>
      <c r="Q118" s="15">
        <v>1</v>
      </c>
      <c r="R118" s="2" t="s">
        <v>13</v>
      </c>
      <c r="S118" s="40">
        <v>325</v>
      </c>
      <c r="T118" s="11" t="s">
        <v>14</v>
      </c>
      <c r="U118" s="2">
        <v>0</v>
      </c>
      <c r="V118" s="12" t="s">
        <v>11</v>
      </c>
      <c r="Y118" s="25"/>
      <c r="Z118" s="25"/>
      <c r="AA118" s="25"/>
      <c r="AB118"/>
      <c r="AC118"/>
      <c r="AD118"/>
      <c r="AE118"/>
    </row>
    <row r="119" spans="1:31" ht="12.75">
      <c r="A119" s="3" t="s">
        <v>415</v>
      </c>
      <c r="B119" s="3" t="s">
        <v>418</v>
      </c>
      <c r="C119" s="56">
        <f>(HearingAids[[#This Row],[haMSRP]]*2)+HearingAids[[#This Row],[chargerPrice]]</f>
        <v>9683</v>
      </c>
      <c r="D119" s="39">
        <v>4679</v>
      </c>
      <c r="E119" s="52" t="s">
        <v>538</v>
      </c>
      <c r="F119" s="39">
        <f>HearingAids[[#This Row],[haMSRP]]-((HearingAids[[#This Row],[ListPriceBinural]]-HearingAids[[#This Row],[chargerPrice]])/2)</f>
        <v>666.5</v>
      </c>
      <c r="G119" s="39">
        <f>HearingAids[[#This Row],[haMSRP]]-HearingAids[[#This Row],[Discount Amount 1]]</f>
        <v>4012.5</v>
      </c>
      <c r="H119" s="116">
        <v>8350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1330</v>
      </c>
      <c r="K119" s="2">
        <f>HearingAids[[#This Row],[HAListPrice]]-HearingAids[[#This Row],[Discount Amount 2]]</f>
        <v>2682.5</v>
      </c>
      <c r="L119" s="116">
        <v>5690</v>
      </c>
      <c r="M119" s="2"/>
      <c r="N119" s="2"/>
      <c r="O119" s="2"/>
      <c r="P119" s="2"/>
      <c r="Q119" s="15">
        <v>1</v>
      </c>
      <c r="R119" s="2" t="s">
        <v>13</v>
      </c>
      <c r="S119" s="40">
        <v>325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8" t="s">
        <v>496</v>
      </c>
      <c r="B120" s="46" t="s">
        <v>503</v>
      </c>
      <c r="C120" s="55">
        <f>(HearingAids[[#This Row],[haMSRP]]*2)+HearingAids[[#This Row],[chargerPrice]]</f>
        <v>11963</v>
      </c>
      <c r="D120" s="39">
        <v>5819</v>
      </c>
      <c r="E120" s="52" t="s">
        <v>538</v>
      </c>
      <c r="F120" s="39">
        <f>HearingAids[[#This Row],[haMSRP]]-((HearingAids[[#This Row],[ListPriceBinural]]-HearingAids[[#This Row],[chargerPrice]])/2)</f>
        <v>1256.5</v>
      </c>
      <c r="G120" s="39">
        <f>HearingAids[[#This Row],[haMSRP]]-HearingAids[[#This Row],[Discount Amount 1]]</f>
        <v>4562.5</v>
      </c>
      <c r="H120" s="116">
        <v>9450</v>
      </c>
      <c r="I120" s="4" t="s">
        <v>421</v>
      </c>
      <c r="J120" s="2">
        <f>((HearingAids[[#This Row],[haMSRP]]-HearingAids[[#This Row],[Discount Amount 1]])-(HearingAids[[#This Row],[haNetPriceBinural]]-HearingAids[[#This Row],[chargerPrice]])/2)+500</f>
        <v>1425</v>
      </c>
      <c r="K120" s="2">
        <f>HearingAids[[#This Row],[HAListPrice]]-HearingAids[[#This Row],[Discount Amount 2]]</f>
        <v>3137.5</v>
      </c>
      <c r="L120" s="116">
        <v>7600</v>
      </c>
      <c r="M120" s="48"/>
      <c r="N120" s="2"/>
      <c r="O120" s="57">
        <f>HearingAids[[#This Row],[haNetPrice]]-HearingAids[[#This Row],[Discount Amount 3]]</f>
        <v>3137.5</v>
      </c>
      <c r="P120" s="8">
        <v>7600</v>
      </c>
      <c r="Q120" s="28">
        <v>1</v>
      </c>
      <c r="R120" s="8" t="s">
        <v>13</v>
      </c>
      <c r="S120" s="40">
        <v>325</v>
      </c>
      <c r="T120" s="24" t="s">
        <v>14</v>
      </c>
      <c r="U120" s="25">
        <v>0</v>
      </c>
      <c r="V120" s="25" t="s">
        <v>11</v>
      </c>
      <c r="Y120" s="25"/>
      <c r="Z120" s="25"/>
      <c r="AA120" s="25"/>
      <c r="AB120"/>
      <c r="AC120"/>
      <c r="AD120"/>
      <c r="AE120"/>
    </row>
    <row r="121" spans="1:31" ht="12.75">
      <c r="A121" s="38" t="s">
        <v>498</v>
      </c>
      <c r="B121" s="46" t="s">
        <v>505</v>
      </c>
      <c r="C121" s="55">
        <f>(HearingAids[[#This Row],[haMSRP]]*2)+HearingAids[[#This Row],[chargerPrice]]</f>
        <v>7703</v>
      </c>
      <c r="D121" s="39">
        <v>3689</v>
      </c>
      <c r="E121" s="52" t="s">
        <v>538</v>
      </c>
      <c r="F121" s="39">
        <f>HearingAids[[#This Row],[haMSRP]]-((HearingAids[[#This Row],[ListPriceBinural]]-HearingAids[[#This Row],[chargerPrice]])/2)</f>
        <v>326.5</v>
      </c>
      <c r="G121" s="39">
        <f>HearingAids[[#This Row],[haMSRP]]-HearingAids[[#This Row],[Discount Amount 1]]</f>
        <v>3362.5</v>
      </c>
      <c r="H121" s="116">
        <v>7050</v>
      </c>
      <c r="I121" s="4" t="s">
        <v>421</v>
      </c>
      <c r="J121" s="2">
        <f>((HearingAids[[#This Row],[haMSRP]]-HearingAids[[#This Row],[Discount Amount 1]])-(HearingAids[[#This Row],[haNetPriceBinural]]-HearingAids[[#This Row],[chargerPrice]])/2)+500</f>
        <v>1485</v>
      </c>
      <c r="K121" s="2">
        <f>HearingAids[[#This Row],[HAListPrice]]-HearingAids[[#This Row],[Discount Amount 2]]</f>
        <v>1877.5</v>
      </c>
      <c r="L121" s="116">
        <v>5080</v>
      </c>
      <c r="M121" s="48"/>
      <c r="N121" s="2"/>
      <c r="O121" s="57">
        <f>HearingAids[[#This Row],[haNetPrice]]-HearingAids[[#This Row],[Discount Amount 3]]</f>
        <v>1877.5</v>
      </c>
      <c r="P121" s="8">
        <v>5800</v>
      </c>
      <c r="Q121" s="28">
        <v>1</v>
      </c>
      <c r="R121" s="8" t="s">
        <v>13</v>
      </c>
      <c r="S121" s="40">
        <v>325</v>
      </c>
      <c r="T121" s="24" t="s">
        <v>14</v>
      </c>
      <c r="U121" s="25">
        <v>0</v>
      </c>
      <c r="V121" s="25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497</v>
      </c>
      <c r="B122" s="46" t="s">
        <v>504</v>
      </c>
      <c r="C122" s="55">
        <f>(HearingAids[[#This Row],[haMSRP]]*2)+HearingAids[[#This Row],[chargerPrice]]</f>
        <v>9683</v>
      </c>
      <c r="D122" s="39">
        <v>4679</v>
      </c>
      <c r="E122" s="52" t="s">
        <v>538</v>
      </c>
      <c r="F122" s="39">
        <f>HearingAids[[#This Row],[haMSRP]]-((HearingAids[[#This Row],[ListPriceBinural]]-HearingAids[[#This Row],[chargerPrice]])/2)</f>
        <v>666.5</v>
      </c>
      <c r="G122" s="39">
        <f>HearingAids[[#This Row],[haMSRP]]-HearingAids[[#This Row],[Discount Amount 1]]</f>
        <v>4012.5</v>
      </c>
      <c r="H122" s="116">
        <v>8350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1375</v>
      </c>
      <c r="K122" s="2">
        <f>HearingAids[[#This Row],[HAListPrice]]-HearingAids[[#This Row],[Discount Amount 2]]</f>
        <v>2637.5</v>
      </c>
      <c r="L122" s="116">
        <v>6600</v>
      </c>
      <c r="M122" s="48"/>
      <c r="N122" s="2"/>
      <c r="O122" s="57">
        <f>HearingAids[[#This Row],[haNetPrice]]-HearingAids[[#This Row],[Discount Amount 3]]</f>
        <v>2637.5</v>
      </c>
      <c r="P122" s="8">
        <v>6600</v>
      </c>
      <c r="Q122" s="28">
        <v>1</v>
      </c>
      <c r="R122" s="8" t="s">
        <v>13</v>
      </c>
      <c r="S122" s="40">
        <v>325</v>
      </c>
      <c r="T122" s="24" t="s">
        <v>14</v>
      </c>
      <c r="U122" s="25">
        <v>0</v>
      </c>
      <c r="V122" s="25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38" t="s">
        <v>500</v>
      </c>
      <c r="B123" s="47" t="s">
        <v>507</v>
      </c>
      <c r="C123" s="53">
        <f>(HearingAids[[#This Row],[haMSRP]]*2)+HearingAids[[#This Row],[chargerPrice]]</f>
        <v>4903</v>
      </c>
      <c r="D123" s="39">
        <v>2339</v>
      </c>
      <c r="E123" s="52" t="s">
        <v>538</v>
      </c>
      <c r="F123" s="39">
        <f>HearingAids[[#This Row],[haMSRP]]-((HearingAids[[#This Row],[ListPriceBinural]]-HearingAids[[#This Row],[chargerPrice]])/2)</f>
        <v>701.5</v>
      </c>
      <c r="G123" s="39">
        <f>HearingAids[[#This Row],[haMSRP]]-HearingAids[[#This Row],[Discount Amount 1]]</f>
        <v>1637.5</v>
      </c>
      <c r="H123" s="117">
        <v>3500</v>
      </c>
      <c r="I123" s="29" t="s">
        <v>432</v>
      </c>
      <c r="J123" s="2">
        <f>(HearingAids[[#This Row],[haMSRP]]-HearingAids[[#This Row],[Discount Amount 1]])-(HearingAids[[#This Row],[haNetPriceBinural]]-HearingAids[[#This Row],[chargerPrice]])/2</f>
        <v>55</v>
      </c>
      <c r="K123" s="2">
        <f>HearingAids[[#This Row],[HAListPrice]]-HearingAids[[#This Row],[Discount Amount 2]]</f>
        <v>1582.5</v>
      </c>
      <c r="L123" s="117">
        <v>3390</v>
      </c>
      <c r="M123" s="2"/>
      <c r="N123" s="2"/>
      <c r="O123" s="2"/>
      <c r="P123" s="22"/>
      <c r="Q123" s="15">
        <v>1</v>
      </c>
      <c r="R123" s="123" t="s">
        <v>9</v>
      </c>
      <c r="S123" s="22">
        <v>225</v>
      </c>
      <c r="T123" s="10" t="s">
        <v>26</v>
      </c>
      <c r="U123" s="7">
        <v>0</v>
      </c>
      <c r="V123" s="12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3" t="s">
        <v>413</v>
      </c>
      <c r="B124" s="37" t="s">
        <v>416</v>
      </c>
      <c r="C124" s="54">
        <f>(HearingAids[[#This Row],[haMSRP]]*2)+HearingAids[[#This Row],[chargerPrice]]</f>
        <v>11963</v>
      </c>
      <c r="D124" s="39">
        <v>5819</v>
      </c>
      <c r="E124" s="52" t="s">
        <v>538</v>
      </c>
      <c r="F124" s="39">
        <f>HearingAids[[#This Row],[haMSRP]]-((HearingAids[[#This Row],[ListPriceBinural]]-HearingAids[[#This Row],[chargerPrice]])/2)</f>
        <v>1256.5</v>
      </c>
      <c r="G124" s="39">
        <f>HearingAids[[#This Row],[haMSRP]]-HearingAids[[#This Row],[Discount Amount 1]]</f>
        <v>4562.5</v>
      </c>
      <c r="H124" s="116">
        <v>9450</v>
      </c>
      <c r="I124" s="29" t="s">
        <v>432</v>
      </c>
      <c r="J124" s="2">
        <f>(HearingAids[[#This Row],[haMSRP]]-HearingAids[[#This Row],[Discount Amount 1]])-(HearingAids[[#This Row],[haNetPriceBinural]]-HearingAids[[#This Row],[chargerPrice]])/2</f>
        <v>1380</v>
      </c>
      <c r="K124" s="2">
        <f>HearingAids[[#This Row],[HAListPrice]]-HearingAids[[#This Row],[Discount Amount 2]]</f>
        <v>3182.5</v>
      </c>
      <c r="L124" s="116">
        <v>6690</v>
      </c>
      <c r="M124" s="2"/>
      <c r="N124" s="2"/>
      <c r="O124" s="2"/>
      <c r="P124" s="2"/>
      <c r="Q124" s="15">
        <v>1</v>
      </c>
      <c r="R124" s="2" t="s">
        <v>13</v>
      </c>
      <c r="S124" s="40">
        <v>325</v>
      </c>
      <c r="T124" s="11" t="s">
        <v>14</v>
      </c>
      <c r="U124" s="2">
        <v>0</v>
      </c>
      <c r="V124" s="12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3" t="s">
        <v>414</v>
      </c>
      <c r="B125" s="3" t="s">
        <v>417</v>
      </c>
      <c r="C125" s="56">
        <f>(HearingAids[[#This Row],[haMSRP]]*2)+HearingAids[[#This Row],[chargerPrice]]</f>
        <v>7703</v>
      </c>
      <c r="D125" s="39">
        <v>3689</v>
      </c>
      <c r="E125" s="52" t="s">
        <v>538</v>
      </c>
      <c r="F125" s="39">
        <f>HearingAids[[#This Row],[haMSRP]]-((HearingAids[[#This Row],[ListPriceBinural]]-HearingAids[[#This Row],[chargerPrice]])/2)</f>
        <v>326.5</v>
      </c>
      <c r="G125" s="39">
        <f>HearingAids[[#This Row],[haMSRP]]-HearingAids[[#This Row],[Discount Amount 1]]</f>
        <v>3362.5</v>
      </c>
      <c r="H125" s="116">
        <v>7050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1080</v>
      </c>
      <c r="K125" s="2">
        <f>HearingAids[[#This Row],[HAListPrice]]-HearingAids[[#This Row],[Discount Amount 2]]</f>
        <v>2282.5</v>
      </c>
      <c r="L125" s="116">
        <v>4890</v>
      </c>
      <c r="M125" s="2"/>
      <c r="N125" s="2"/>
      <c r="O125" s="2"/>
      <c r="P125" s="2"/>
      <c r="Q125" s="15">
        <v>1</v>
      </c>
      <c r="R125" s="2" t="s">
        <v>13</v>
      </c>
      <c r="S125" s="40">
        <v>325</v>
      </c>
      <c r="T125" s="11" t="s">
        <v>14</v>
      </c>
      <c r="U125" s="2">
        <v>0</v>
      </c>
      <c r="V125" s="12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" t="s">
        <v>415</v>
      </c>
      <c r="B126" s="3" t="s">
        <v>418</v>
      </c>
      <c r="C126" s="56">
        <f>(HearingAids[[#This Row],[haMSRP]]*2)+HearingAids[[#This Row],[chargerPrice]]</f>
        <v>9683</v>
      </c>
      <c r="D126" s="39">
        <v>4679</v>
      </c>
      <c r="E126" s="52" t="s">
        <v>538</v>
      </c>
      <c r="F126" s="39">
        <f>HearingAids[[#This Row],[haMSRP]]-((HearingAids[[#This Row],[ListPriceBinural]]-HearingAids[[#This Row],[chargerPrice]])/2)</f>
        <v>1166.5</v>
      </c>
      <c r="G126" s="39">
        <f>HearingAids[[#This Row],[haMSRP]]-HearingAids[[#This Row],[Discount Amount 1]]</f>
        <v>3512.5</v>
      </c>
      <c r="H126" s="116">
        <v>7350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830</v>
      </c>
      <c r="K126" s="2">
        <f>HearingAids[[#This Row],[HAListPrice]]-HearingAids[[#This Row],[Discount Amount 2]]</f>
        <v>2682.5</v>
      </c>
      <c r="L126" s="116">
        <v>5690</v>
      </c>
      <c r="M126" s="2"/>
      <c r="N126" s="2"/>
      <c r="O126" s="2"/>
      <c r="P126" s="2"/>
      <c r="Q126" s="15">
        <v>1</v>
      </c>
      <c r="R126" s="2" t="s">
        <v>13</v>
      </c>
      <c r="S126" s="40">
        <v>325</v>
      </c>
      <c r="T126" s="11" t="s">
        <v>14</v>
      </c>
      <c r="U126" s="2">
        <v>0</v>
      </c>
      <c r="V126" s="1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8" t="s">
        <v>500</v>
      </c>
      <c r="B127" s="47" t="s">
        <v>507</v>
      </c>
      <c r="C127" s="53">
        <f>(HearingAids[[#This Row],[haMSRP]]*2)+HearingAids[[#This Row],[chargerPrice]]</f>
        <v>4903</v>
      </c>
      <c r="D127" s="39">
        <v>2339</v>
      </c>
      <c r="E127" s="52" t="s">
        <v>538</v>
      </c>
      <c r="F127" s="39">
        <f>HearingAids[[#This Row],[haMSRP]]-((HearingAids[[#This Row],[ListPriceBinural]]-HearingAids[[#This Row],[chargerPrice]])/2)</f>
        <v>701.5</v>
      </c>
      <c r="G127" s="39">
        <f>HearingAids[[#This Row],[haMSRP]]-HearingAids[[#This Row],[Discount Amount 1]]</f>
        <v>1637.5</v>
      </c>
      <c r="H127" s="117">
        <v>3500</v>
      </c>
      <c r="I127" s="4" t="s">
        <v>57</v>
      </c>
      <c r="J127" s="2">
        <f>(HearingAids[[#This Row],[haMSRP]]-HearingAids[[#This Row],[Discount Amount 1]])-(HearingAids[[#This Row],[haNetPriceBinural]]-HearingAids[[#This Row],[chargerPrice]])/2</f>
        <v>55</v>
      </c>
      <c r="K127" s="2">
        <f>HearingAids[[#This Row],[HAListPrice]]-HearingAids[[#This Row],[Discount Amount 2]]</f>
        <v>1582.5</v>
      </c>
      <c r="L127" s="117">
        <v>3390</v>
      </c>
      <c r="M127" s="2"/>
      <c r="N127" s="2"/>
      <c r="O127" s="2"/>
      <c r="P127" s="22"/>
      <c r="Q127" s="23">
        <v>1</v>
      </c>
      <c r="R127" s="122" t="s">
        <v>9</v>
      </c>
      <c r="S127" s="22">
        <v>225</v>
      </c>
      <c r="T127" s="24" t="s">
        <v>26</v>
      </c>
      <c r="U127" s="25">
        <v>0</v>
      </c>
      <c r="V127" s="25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413</v>
      </c>
      <c r="B128" s="37" t="s">
        <v>416</v>
      </c>
      <c r="C128" s="54">
        <f>(HearingAids[[#This Row],[haMSRP]]*2)+HearingAids[[#This Row],[chargerPrice]]</f>
        <v>11963</v>
      </c>
      <c r="D128" s="39">
        <v>5819</v>
      </c>
      <c r="E128" s="52" t="s">
        <v>538</v>
      </c>
      <c r="F128" s="39">
        <f>HearingAids[[#This Row],[haMSRP]]-((HearingAids[[#This Row],[ListPriceBinural]]-HearingAids[[#This Row],[chargerPrice]])/2)</f>
        <v>1256.5</v>
      </c>
      <c r="G128" s="39">
        <f>HearingAids[[#This Row],[haMSRP]]-HearingAids[[#This Row],[Discount Amount 1]]</f>
        <v>4562.5</v>
      </c>
      <c r="H128" s="116">
        <v>9450</v>
      </c>
      <c r="I128" s="4" t="s">
        <v>57</v>
      </c>
      <c r="J128" s="2">
        <f>(HearingAids[[#This Row],[haMSRP]]-HearingAids[[#This Row],[Discount Amount 1]])-(HearingAids[[#This Row],[haNetPriceBinural]]-HearingAids[[#This Row],[chargerPrice]])/2</f>
        <v>1380</v>
      </c>
      <c r="K128" s="2">
        <f>HearingAids[[#This Row],[HAListPrice]]-HearingAids[[#This Row],[Discount Amount 2]]</f>
        <v>3182.5</v>
      </c>
      <c r="L128" s="116">
        <v>6690</v>
      </c>
      <c r="M128" s="2"/>
      <c r="N128" s="2"/>
      <c r="O128" s="2"/>
      <c r="P128" s="2"/>
      <c r="Q128" s="15">
        <v>1</v>
      </c>
      <c r="R128" s="2" t="s">
        <v>13</v>
      </c>
      <c r="S128" s="40">
        <v>325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414</v>
      </c>
      <c r="B129" s="3" t="s">
        <v>417</v>
      </c>
      <c r="C129" s="56">
        <f>(HearingAids[[#This Row],[haMSRP]]*2)+HearingAids[[#This Row],[chargerPrice]]</f>
        <v>7703</v>
      </c>
      <c r="D129" s="39">
        <v>3689</v>
      </c>
      <c r="E129" s="52" t="s">
        <v>538</v>
      </c>
      <c r="F129" s="39">
        <f>HearingAids[[#This Row],[haMSRP]]-((HearingAids[[#This Row],[ListPriceBinural]]-HearingAids[[#This Row],[chargerPrice]])/2)</f>
        <v>326.5</v>
      </c>
      <c r="G129" s="39">
        <f>HearingAids[[#This Row],[haMSRP]]-HearingAids[[#This Row],[Discount Amount 1]]</f>
        <v>3362.5</v>
      </c>
      <c r="H129" s="116">
        <v>7050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1080</v>
      </c>
      <c r="K129" s="2">
        <f>HearingAids[[#This Row],[HAListPrice]]-HearingAids[[#This Row],[Discount Amount 2]]</f>
        <v>2282.5</v>
      </c>
      <c r="L129" s="116">
        <v>4890</v>
      </c>
      <c r="M129" s="2"/>
      <c r="N129" s="2"/>
      <c r="O129" s="2"/>
      <c r="P129" s="2"/>
      <c r="Q129" s="15">
        <v>1</v>
      </c>
      <c r="R129" s="2" t="s">
        <v>13</v>
      </c>
      <c r="S129" s="40">
        <v>325</v>
      </c>
      <c r="T129" s="11" t="s">
        <v>14</v>
      </c>
      <c r="U129" s="2">
        <v>0</v>
      </c>
      <c r="V129" s="12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" t="s">
        <v>415</v>
      </c>
      <c r="B130" s="3" t="s">
        <v>418</v>
      </c>
      <c r="C130" s="56">
        <f>(HearingAids[[#This Row],[haMSRP]]*2)+HearingAids[[#This Row],[chargerPrice]]</f>
        <v>9683</v>
      </c>
      <c r="D130" s="39">
        <v>4679</v>
      </c>
      <c r="E130" s="52" t="s">
        <v>538</v>
      </c>
      <c r="F130" s="39">
        <f>HearingAids[[#This Row],[haMSRP]]-((HearingAids[[#This Row],[ListPriceBinural]]-HearingAids[[#This Row],[chargerPrice]])/2)</f>
        <v>666.5</v>
      </c>
      <c r="G130" s="39">
        <f>HearingAids[[#This Row],[haMSRP]]-HearingAids[[#This Row],[Discount Amount 1]]</f>
        <v>4012.5</v>
      </c>
      <c r="H130" s="116">
        <v>8350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1330</v>
      </c>
      <c r="K130" s="2">
        <f>HearingAids[[#This Row],[HAListPrice]]-HearingAids[[#This Row],[Discount Amount 2]]</f>
        <v>2682.5</v>
      </c>
      <c r="L130" s="116">
        <v>5690</v>
      </c>
      <c r="M130" s="2"/>
      <c r="N130" s="2"/>
      <c r="O130" s="2"/>
      <c r="P130" s="2"/>
      <c r="Q130" s="15">
        <v>1</v>
      </c>
      <c r="R130" s="2" t="s">
        <v>13</v>
      </c>
      <c r="S130" s="40">
        <v>325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8" t="s">
        <v>500</v>
      </c>
      <c r="B131" s="47" t="s">
        <v>507</v>
      </c>
      <c r="C131" s="53">
        <f>(HearingAids[[#This Row],[haMSRP]]*2)+HearingAids[[#This Row],[chargerPrice]]</f>
        <v>4903</v>
      </c>
      <c r="D131" s="39">
        <v>2339</v>
      </c>
      <c r="E131" s="52" t="s">
        <v>538</v>
      </c>
      <c r="F131" s="39">
        <f>HearingAids[[#This Row],[haMSRP]]-((HearingAids[[#This Row],[ListPriceBinural]]-HearingAids[[#This Row],[chargerPrice]])/2)</f>
        <v>701.5</v>
      </c>
      <c r="G131" s="39">
        <f>HearingAids[[#This Row],[haMSRP]]-HearingAids[[#This Row],[Discount Amount 1]]</f>
        <v>1637.5</v>
      </c>
      <c r="H131" s="117">
        <v>3500</v>
      </c>
      <c r="I131" s="4" t="s">
        <v>58</v>
      </c>
      <c r="J131" s="2">
        <f>(HearingAids[[#This Row],[haMSRP]]-HearingAids[[#This Row],[Discount Amount 1]])-(HearingAids[[#This Row],[haNetPriceBinural]]-HearingAids[[#This Row],[chargerPrice]])/2</f>
        <v>55</v>
      </c>
      <c r="K131" s="2">
        <f>HearingAids[[#This Row],[HAListPrice]]-HearingAids[[#This Row],[Discount Amount 2]]</f>
        <v>1582.5</v>
      </c>
      <c r="L131" s="117">
        <v>3390</v>
      </c>
      <c r="M131" s="2"/>
      <c r="N131" s="2"/>
      <c r="O131" s="2"/>
      <c r="P131" s="22"/>
      <c r="Q131" s="15">
        <v>1</v>
      </c>
      <c r="R131" s="123" t="s">
        <v>9</v>
      </c>
      <c r="S131" s="22">
        <v>225</v>
      </c>
      <c r="T131" s="10" t="s">
        <v>26</v>
      </c>
      <c r="U131" s="7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413</v>
      </c>
      <c r="B132" s="37" t="s">
        <v>416</v>
      </c>
      <c r="C132" s="54">
        <f>(HearingAids[[#This Row],[haMSRP]]*2)+HearingAids[[#This Row],[chargerPrice]]</f>
        <v>11963</v>
      </c>
      <c r="D132" s="39">
        <v>5819</v>
      </c>
      <c r="E132" s="52" t="s">
        <v>538</v>
      </c>
      <c r="F132" s="39">
        <f>HearingAids[[#This Row],[haMSRP]]-((HearingAids[[#This Row],[ListPriceBinural]]-HearingAids[[#This Row],[chargerPrice]])/2)</f>
        <v>1256.5</v>
      </c>
      <c r="G132" s="39">
        <f>HearingAids[[#This Row],[haMSRP]]-HearingAids[[#This Row],[Discount Amount 1]]</f>
        <v>4562.5</v>
      </c>
      <c r="H132" s="116">
        <v>9450</v>
      </c>
      <c r="I132" s="4" t="s">
        <v>58</v>
      </c>
      <c r="J132" s="2">
        <f>(HearingAids[[#This Row],[haMSRP]]-HearingAids[[#This Row],[Discount Amount 1]])-(HearingAids[[#This Row],[haNetPriceBinural]]-HearingAids[[#This Row],[chargerPrice]])/2</f>
        <v>1380</v>
      </c>
      <c r="K132" s="2">
        <f>HearingAids[[#This Row],[HAListPrice]]-HearingAids[[#This Row],[Discount Amount 2]]</f>
        <v>3182.5</v>
      </c>
      <c r="L132" s="116">
        <v>6690</v>
      </c>
      <c r="M132" s="2"/>
      <c r="N132" s="2"/>
      <c r="O132" s="2"/>
      <c r="P132" s="2"/>
      <c r="Q132" s="15">
        <v>1</v>
      </c>
      <c r="R132" s="2" t="s">
        <v>13</v>
      </c>
      <c r="S132" s="40">
        <v>325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414</v>
      </c>
      <c r="B133" s="3" t="s">
        <v>417</v>
      </c>
      <c r="C133" s="56">
        <f>(HearingAids[[#This Row],[haMSRP]]*2)+HearingAids[[#This Row],[chargerPrice]]</f>
        <v>7703</v>
      </c>
      <c r="D133" s="39">
        <v>3689</v>
      </c>
      <c r="E133" s="52" t="s">
        <v>538</v>
      </c>
      <c r="F133" s="39">
        <f>HearingAids[[#This Row],[haMSRP]]-((HearingAids[[#This Row],[ListPriceBinural]]-HearingAids[[#This Row],[chargerPrice]])/2)</f>
        <v>326.5</v>
      </c>
      <c r="G133" s="39">
        <f>HearingAids[[#This Row],[haMSRP]]-HearingAids[[#This Row],[Discount Amount 1]]</f>
        <v>3362.5</v>
      </c>
      <c r="H133" s="116">
        <v>7050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1080</v>
      </c>
      <c r="K133" s="2">
        <f>HearingAids[[#This Row],[HAListPrice]]-HearingAids[[#This Row],[Discount Amount 2]]</f>
        <v>2282.5</v>
      </c>
      <c r="L133" s="116">
        <v>4890</v>
      </c>
      <c r="M133" s="2"/>
      <c r="N133" s="2"/>
      <c r="O133" s="2"/>
      <c r="P133" s="2"/>
      <c r="Q133" s="15">
        <v>1</v>
      </c>
      <c r="R133" s="2" t="s">
        <v>13</v>
      </c>
      <c r="S133" s="40">
        <v>325</v>
      </c>
      <c r="T133" s="11" t="s">
        <v>14</v>
      </c>
      <c r="U133" s="2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" t="s">
        <v>415</v>
      </c>
      <c r="B134" s="3" t="s">
        <v>418</v>
      </c>
      <c r="C134" s="56">
        <f>(HearingAids[[#This Row],[haMSRP]]*2)+HearingAids[[#This Row],[chargerPrice]]</f>
        <v>9683</v>
      </c>
      <c r="D134" s="39">
        <v>4679</v>
      </c>
      <c r="E134" s="52" t="s">
        <v>538</v>
      </c>
      <c r="F134" s="39">
        <f>HearingAids[[#This Row],[haMSRP]]-((HearingAids[[#This Row],[ListPriceBinural]]-HearingAids[[#This Row],[chargerPrice]])/2)</f>
        <v>666.5</v>
      </c>
      <c r="G134" s="39">
        <f>HearingAids[[#This Row],[haMSRP]]-HearingAids[[#This Row],[Discount Amount 1]]</f>
        <v>4012.5</v>
      </c>
      <c r="H134" s="116">
        <v>8350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1330</v>
      </c>
      <c r="K134" s="2">
        <f>HearingAids[[#This Row],[HAListPrice]]-HearingAids[[#This Row],[Discount Amount 2]]</f>
        <v>2682.5</v>
      </c>
      <c r="L134" s="116">
        <v>5690</v>
      </c>
      <c r="M134" s="2"/>
      <c r="N134" s="2"/>
      <c r="O134" s="2"/>
      <c r="P134" s="2"/>
      <c r="Q134" s="15">
        <v>1</v>
      </c>
      <c r="R134" s="2" t="s">
        <v>13</v>
      </c>
      <c r="S134" s="40">
        <v>325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8" t="s">
        <v>500</v>
      </c>
      <c r="B135" s="47" t="s">
        <v>507</v>
      </c>
      <c r="C135" s="53">
        <f>(HearingAids[[#This Row],[haMSRP]]*2)+HearingAids[[#This Row],[chargerPrice]]</f>
        <v>4903</v>
      </c>
      <c r="D135" s="39">
        <v>2339</v>
      </c>
      <c r="E135" s="52" t="s">
        <v>538</v>
      </c>
      <c r="F135" s="39">
        <f>HearingAids[[#This Row],[haMSRP]]-((HearingAids[[#This Row],[ListPriceBinural]]-HearingAids[[#This Row],[chargerPrice]])/2)</f>
        <v>701.5</v>
      </c>
      <c r="G135" s="39">
        <f>HearingAids[[#This Row],[haMSRP]]-HearingAids[[#This Row],[Discount Amount 1]]</f>
        <v>1637.5</v>
      </c>
      <c r="H135" s="117">
        <v>3500</v>
      </c>
      <c r="I135" s="4" t="s">
        <v>59</v>
      </c>
      <c r="J135" s="2">
        <f>(HearingAids[[#This Row],[haMSRP]]-HearingAids[[#This Row],[Discount Amount 1]])-(HearingAids[[#This Row],[haNetPriceBinural]]-HearingAids[[#This Row],[chargerPrice]])/2</f>
        <v>55</v>
      </c>
      <c r="K135" s="2">
        <f>HearingAids[[#This Row],[HAListPrice]]-HearingAids[[#This Row],[Discount Amount 2]]</f>
        <v>1582.5</v>
      </c>
      <c r="L135" s="117">
        <v>3390</v>
      </c>
      <c r="M135" s="2"/>
      <c r="N135" s="2"/>
      <c r="O135" s="2"/>
      <c r="P135" s="22"/>
      <c r="Q135" s="23">
        <v>1</v>
      </c>
      <c r="R135" s="122" t="s">
        <v>9</v>
      </c>
      <c r="S135" s="22">
        <v>225</v>
      </c>
      <c r="T135" s="24" t="s">
        <v>26</v>
      </c>
      <c r="U135" s="25">
        <v>0</v>
      </c>
      <c r="V135" s="25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" t="s">
        <v>413</v>
      </c>
      <c r="B136" s="37" t="s">
        <v>416</v>
      </c>
      <c r="C136" s="54">
        <f>(HearingAids[[#This Row],[haMSRP]]*2)+HearingAids[[#This Row],[chargerPrice]]</f>
        <v>11963</v>
      </c>
      <c r="D136" s="39">
        <v>5819</v>
      </c>
      <c r="E136" s="52" t="s">
        <v>538</v>
      </c>
      <c r="F136" s="39">
        <f>HearingAids[[#This Row],[haMSRP]]-((HearingAids[[#This Row],[ListPriceBinural]]-HearingAids[[#This Row],[chargerPrice]])/2)</f>
        <v>1256.5</v>
      </c>
      <c r="G136" s="39">
        <f>HearingAids[[#This Row],[haMSRP]]-HearingAids[[#This Row],[Discount Amount 1]]</f>
        <v>4562.5</v>
      </c>
      <c r="H136" s="116">
        <v>9450</v>
      </c>
      <c r="I136" s="4" t="s">
        <v>59</v>
      </c>
      <c r="J136" s="2">
        <f>(HearingAids[[#This Row],[haMSRP]]-HearingAids[[#This Row],[Discount Amount 1]])-(HearingAids[[#This Row],[haNetPriceBinural]]-HearingAids[[#This Row],[chargerPrice]])/2</f>
        <v>1380</v>
      </c>
      <c r="K136" s="2">
        <f>HearingAids[[#This Row],[HAListPrice]]-HearingAids[[#This Row],[Discount Amount 2]]</f>
        <v>3182.5</v>
      </c>
      <c r="L136" s="116">
        <v>6690</v>
      </c>
      <c r="M136" s="2"/>
      <c r="N136" s="2"/>
      <c r="O136" s="2"/>
      <c r="P136" s="2"/>
      <c r="Q136" s="15">
        <v>1</v>
      </c>
      <c r="R136" s="2" t="s">
        <v>13</v>
      </c>
      <c r="S136" s="40">
        <v>325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3" t="s">
        <v>414</v>
      </c>
      <c r="B137" s="3" t="s">
        <v>417</v>
      </c>
      <c r="C137" s="56">
        <f>(HearingAids[[#This Row],[haMSRP]]*2)+HearingAids[[#This Row],[chargerPrice]]</f>
        <v>7703</v>
      </c>
      <c r="D137" s="39">
        <v>3689</v>
      </c>
      <c r="E137" s="52" t="s">
        <v>538</v>
      </c>
      <c r="F137" s="39">
        <f>HearingAids[[#This Row],[haMSRP]]-((HearingAids[[#This Row],[ListPriceBinural]]-HearingAids[[#This Row],[chargerPrice]])/2)</f>
        <v>326.5</v>
      </c>
      <c r="G137" s="39">
        <f>HearingAids[[#This Row],[haMSRP]]-HearingAids[[#This Row],[Discount Amount 1]]</f>
        <v>3362.5</v>
      </c>
      <c r="H137" s="116">
        <v>7050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1080</v>
      </c>
      <c r="K137" s="2">
        <f>HearingAids[[#This Row],[HAListPrice]]-HearingAids[[#This Row],[Discount Amount 2]]</f>
        <v>2282.5</v>
      </c>
      <c r="L137" s="116">
        <v>4890</v>
      </c>
      <c r="M137" s="65"/>
      <c r="N137" s="2"/>
      <c r="O137" s="2"/>
      <c r="P137" s="2"/>
      <c r="Q137" s="15">
        <v>1</v>
      </c>
      <c r="R137" s="2" t="s">
        <v>13</v>
      </c>
      <c r="S137" s="40">
        <v>325</v>
      </c>
      <c r="T137" s="11" t="s">
        <v>14</v>
      </c>
      <c r="U137" s="2">
        <v>0</v>
      </c>
      <c r="V137" s="12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3" t="s">
        <v>415</v>
      </c>
      <c r="B138" s="3" t="s">
        <v>418</v>
      </c>
      <c r="C138" s="56">
        <f>(HearingAids[[#This Row],[haMSRP]]*2)+HearingAids[[#This Row],[chargerPrice]]</f>
        <v>9683</v>
      </c>
      <c r="D138" s="39">
        <v>4679</v>
      </c>
      <c r="E138" s="52" t="s">
        <v>538</v>
      </c>
      <c r="F138" s="39">
        <f>HearingAids[[#This Row],[haMSRP]]-((HearingAids[[#This Row],[ListPriceBinural]]-HearingAids[[#This Row],[chargerPrice]])/2)</f>
        <v>666.5</v>
      </c>
      <c r="G138" s="39">
        <f>HearingAids[[#This Row],[haMSRP]]-HearingAids[[#This Row],[Discount Amount 1]]</f>
        <v>4012.5</v>
      </c>
      <c r="H138" s="116">
        <v>8350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1330</v>
      </c>
      <c r="K138" s="2">
        <f>HearingAids[[#This Row],[HAListPrice]]-HearingAids[[#This Row],[Discount Amount 2]]</f>
        <v>2682.5</v>
      </c>
      <c r="L138" s="116">
        <v>5690</v>
      </c>
      <c r="M138" s="65"/>
      <c r="N138" s="2"/>
      <c r="O138" s="2"/>
      <c r="P138" s="2"/>
      <c r="Q138" s="15">
        <v>1</v>
      </c>
      <c r="R138" s="2" t="s">
        <v>13</v>
      </c>
      <c r="S138" s="40">
        <v>325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1" t="s">
        <v>617</v>
      </c>
      <c r="B139" s="92" t="s">
        <v>618</v>
      </c>
      <c r="C139" s="56">
        <f>(HearingAids[[#This Row],[haMSRP]]*2)+HearingAids[[#This Row],[chargerPrice]]</f>
        <v>6283</v>
      </c>
      <c r="D139" s="94">
        <v>3029</v>
      </c>
      <c r="E139" s="94" t="s">
        <v>538</v>
      </c>
      <c r="F139" s="39">
        <f>HearingAids[[#This Row],[haMSRP]]-((HearingAids[[#This Row],[ListPriceBinural]]-HearingAids[[#This Row],[chargerPrice]])/2)</f>
        <v>616.5</v>
      </c>
      <c r="G139" s="39">
        <f>HearingAids[[#This Row],[haMSRP]]-HearingAids[[#This Row],[Discount Amount 1]]</f>
        <v>2412.5</v>
      </c>
      <c r="H139" s="116">
        <v>5050</v>
      </c>
      <c r="I139" s="95" t="s">
        <v>597</v>
      </c>
      <c r="J139" s="2">
        <f>(HearingAids[[#This Row],[haMSRP]]-HearingAids[[#This Row],[Discount Amount 1]])-(HearingAids[[#This Row],[haNetPriceBinural]]-HearingAids[[#This Row],[chargerPrice]])/2</f>
        <v>0</v>
      </c>
      <c r="K139" s="2">
        <f>HearingAids[[#This Row],[HAListPrice]]-HearingAids[[#This Row],[Discount Amount 2]]</f>
        <v>2412.5</v>
      </c>
      <c r="L139" s="116">
        <v>5050</v>
      </c>
      <c r="M139" s="94"/>
      <c r="N139" s="2">
        <f>HearingAids[[#This Row],[haNetPrice]]-((HearingAids[[#This Row],[haNetPriceBinural2]]-HearingAids[[#This Row],[chargerPrice]])/2)</f>
        <v>2525</v>
      </c>
      <c r="O139" s="94">
        <f>HearingAids[[#This Row],[haNetPrice]]-HearingAids[[#This Row],[Discount Amount 3]]</f>
        <v>-112.5</v>
      </c>
      <c r="P139" s="94"/>
      <c r="Q139" s="96">
        <v>1</v>
      </c>
      <c r="R139" s="125" t="s">
        <v>9</v>
      </c>
      <c r="S139" s="22">
        <v>225</v>
      </c>
      <c r="T139" s="97"/>
      <c r="U139" s="97"/>
      <c r="V139" s="98"/>
      <c r="X139" s="2"/>
      <c r="Y139" s="2"/>
      <c r="Z139" s="2"/>
      <c r="AA139" s="2"/>
      <c r="AB139" s="2"/>
      <c r="AC139" s="2"/>
      <c r="AD139" s="2"/>
    </row>
    <row r="140" spans="1:31" ht="12.75">
      <c r="A140" s="91" t="s">
        <v>619</v>
      </c>
      <c r="B140" s="93" t="s">
        <v>620</v>
      </c>
      <c r="C140" s="56">
        <f>(HearingAids[[#This Row],[haMSRP]]*2)+HearingAids[[#This Row],[chargerPrice]]</f>
        <v>11863</v>
      </c>
      <c r="D140" s="94">
        <v>5819</v>
      </c>
      <c r="E140" s="94" t="s">
        <v>538</v>
      </c>
      <c r="F140" s="39">
        <f>HearingAids[[#This Row],[haMSRP]]-((HearingAids[[#This Row],[ListPriceBinural]]-HearingAids[[#This Row],[chargerPrice]])/2)</f>
        <v>1206.5</v>
      </c>
      <c r="G140" s="39">
        <f>HearingAids[[#This Row],[haMSRP]]-HearingAids[[#This Row],[Discount Amount 1]]</f>
        <v>4612.5</v>
      </c>
      <c r="H140" s="116">
        <v>9450</v>
      </c>
      <c r="I140" s="95" t="s">
        <v>28</v>
      </c>
      <c r="J140" s="2"/>
      <c r="K140" s="2">
        <f>HearingAids[[#This Row],[HAListPrice]]-HearingAids[[#This Row],[Discount Amount 2]]</f>
        <v>4612.5</v>
      </c>
      <c r="L140" s="116">
        <v>9450</v>
      </c>
      <c r="M140" s="94"/>
      <c r="N140" s="2">
        <f>HearingAids[[#This Row],[haNetPrice]]-((HearingAids[[#This Row],[haNetPriceBinural2]]-HearingAids[[#This Row],[chargerPrice]])/2)</f>
        <v>4725</v>
      </c>
      <c r="O140" s="94">
        <f>HearingAids[[#This Row],[haNetPrice]]-HearingAids[[#This Row],[Discount Amount 3]]</f>
        <v>-112.5</v>
      </c>
      <c r="P140" s="94"/>
      <c r="Q140" s="96">
        <v>1</v>
      </c>
      <c r="R140" s="125" t="s">
        <v>9</v>
      </c>
      <c r="S140" s="22">
        <v>225</v>
      </c>
      <c r="T140" s="97" t="s">
        <v>14</v>
      </c>
      <c r="U140" s="97">
        <v>0</v>
      </c>
      <c r="V140" s="98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91" t="s">
        <v>621</v>
      </c>
      <c r="B141" s="92" t="s">
        <v>622</v>
      </c>
      <c r="C141" s="56">
        <f>(HearingAids[[#This Row],[haMSRP]]*2)+HearingAids[[#This Row],[chargerPrice]]</f>
        <v>7603</v>
      </c>
      <c r="D141" s="94">
        <v>3689</v>
      </c>
      <c r="E141" s="94" t="s">
        <v>538</v>
      </c>
      <c r="F141" s="39">
        <f>HearingAids[[#This Row],[haMSRP]]-((HearingAids[[#This Row],[ListPriceBinural]]-HearingAids[[#This Row],[chargerPrice]])/2)</f>
        <v>276.5</v>
      </c>
      <c r="G141" s="39">
        <f>HearingAids[[#This Row],[haMSRP]]-HearingAids[[#This Row],[Discount Amount 1]]</f>
        <v>3412.5</v>
      </c>
      <c r="H141" s="116">
        <v>7050</v>
      </c>
      <c r="I141" s="95" t="s">
        <v>28</v>
      </c>
      <c r="J141" s="2"/>
      <c r="K141" s="2">
        <f>HearingAids[[#This Row],[HAListPrice]]-HearingAids[[#This Row],[Discount Amount 2]]</f>
        <v>3412.5</v>
      </c>
      <c r="L141" s="116">
        <v>7050</v>
      </c>
      <c r="M141" s="94"/>
      <c r="N141" s="2">
        <f>HearingAids[[#This Row],[haNetPrice]]-((HearingAids[[#This Row],[haNetPriceBinural2]]-HearingAids[[#This Row],[chargerPrice]])/2)</f>
        <v>3525</v>
      </c>
      <c r="O141" s="94">
        <f>HearingAids[[#This Row],[haNetPrice]]-HearingAids[[#This Row],[Discount Amount 3]]</f>
        <v>-112.5</v>
      </c>
      <c r="P141" s="94"/>
      <c r="Q141" s="96">
        <v>1</v>
      </c>
      <c r="R141" s="125" t="s">
        <v>9</v>
      </c>
      <c r="S141" s="22">
        <v>225</v>
      </c>
      <c r="T141" s="97" t="s">
        <v>14</v>
      </c>
      <c r="U141" s="97">
        <v>0</v>
      </c>
      <c r="V141" s="98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91" t="s">
        <v>623</v>
      </c>
      <c r="B142" s="93" t="s">
        <v>624</v>
      </c>
      <c r="C142" s="56">
        <f>(HearingAids[[#This Row],[haMSRP]]*2)+HearingAids[[#This Row],[chargerPrice]]</f>
        <v>9583</v>
      </c>
      <c r="D142" s="94">
        <v>4679</v>
      </c>
      <c r="E142" s="94" t="s">
        <v>538</v>
      </c>
      <c r="F142" s="39">
        <f>HearingAids[[#This Row],[haMSRP]]-((HearingAids[[#This Row],[ListPriceBinural]]-HearingAids[[#This Row],[chargerPrice]])/2)</f>
        <v>616.5</v>
      </c>
      <c r="G142" s="39">
        <f>HearingAids[[#This Row],[haMSRP]]-HearingAids[[#This Row],[Discount Amount 1]]</f>
        <v>4062.5</v>
      </c>
      <c r="H142" s="116">
        <v>8350</v>
      </c>
      <c r="I142" s="95" t="s">
        <v>28</v>
      </c>
      <c r="J142" s="2"/>
      <c r="K142" s="2">
        <f>HearingAids[[#This Row],[HAListPrice]]-HearingAids[[#This Row],[Discount Amount 2]]</f>
        <v>4062.5</v>
      </c>
      <c r="L142" s="116">
        <v>8350</v>
      </c>
      <c r="M142" s="94"/>
      <c r="N142" s="2">
        <f>HearingAids[[#This Row],[haNetPrice]]-((HearingAids[[#This Row],[haNetPriceBinural2]]-HearingAids[[#This Row],[chargerPrice]])/2)</f>
        <v>4175</v>
      </c>
      <c r="O142" s="94">
        <f>HearingAids[[#This Row],[haNetPrice]]-HearingAids[[#This Row],[Discount Amount 3]]</f>
        <v>-112.5</v>
      </c>
      <c r="P142" s="94"/>
      <c r="Q142" s="96">
        <v>1</v>
      </c>
      <c r="R142" s="125" t="s">
        <v>9</v>
      </c>
      <c r="S142" s="22">
        <v>225</v>
      </c>
      <c r="T142" s="97" t="s">
        <v>14</v>
      </c>
      <c r="U142" s="97">
        <v>0</v>
      </c>
      <c r="V142" s="98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91" t="s">
        <v>619</v>
      </c>
      <c r="B143" s="92" t="s">
        <v>620</v>
      </c>
      <c r="C143" s="56">
        <f>(HearingAids[[#This Row],[haMSRP]]*2)+HearingAids[[#This Row],[chargerPrice]]</f>
        <v>11863</v>
      </c>
      <c r="D143" s="94">
        <v>5819</v>
      </c>
      <c r="E143" s="94" t="s">
        <v>538</v>
      </c>
      <c r="F143" s="39">
        <f>HearingAids[[#This Row],[haMSRP]]-((HearingAids[[#This Row],[ListPriceBinural]]-HearingAids[[#This Row],[chargerPrice]])/2)</f>
        <v>1206.5</v>
      </c>
      <c r="G143" s="39">
        <f>HearingAids[[#This Row],[haMSRP]]-HearingAids[[#This Row],[Discount Amount 1]]</f>
        <v>4612.5</v>
      </c>
      <c r="H143" s="116">
        <v>9450</v>
      </c>
      <c r="I143" s="95" t="s">
        <v>177</v>
      </c>
      <c r="J143" s="2"/>
      <c r="K143" s="2">
        <f>HearingAids[[#This Row],[HAListPrice]]-HearingAids[[#This Row],[Discount Amount 2]]</f>
        <v>4612.5</v>
      </c>
      <c r="L143" s="116">
        <v>9450</v>
      </c>
      <c r="M143" s="94"/>
      <c r="N143" s="2">
        <f>HearingAids[[#This Row],[haNetPrice]]-((HearingAids[[#This Row],[haNetPriceBinural2]]-HearingAids[[#This Row],[chargerPrice]])/2)</f>
        <v>4725</v>
      </c>
      <c r="O143" s="94">
        <f>HearingAids[[#This Row],[haNetPrice]]-HearingAids[[#This Row],[Discount Amount 3]]</f>
        <v>-112.5</v>
      </c>
      <c r="P143" s="94"/>
      <c r="Q143" s="96">
        <v>1</v>
      </c>
      <c r="R143" s="125" t="s">
        <v>9</v>
      </c>
      <c r="S143" s="22">
        <v>225</v>
      </c>
      <c r="T143" s="97" t="s">
        <v>14</v>
      </c>
      <c r="U143" s="97">
        <v>0</v>
      </c>
      <c r="V143" s="98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91" t="s">
        <v>617</v>
      </c>
      <c r="B144" s="93" t="s">
        <v>618</v>
      </c>
      <c r="C144" s="56">
        <f>(HearingAids[[#This Row],[haMSRP]]*2)+HearingAids[[#This Row],[chargerPrice]]</f>
        <v>6283</v>
      </c>
      <c r="D144" s="94">
        <v>3029</v>
      </c>
      <c r="E144" s="94" t="s">
        <v>538</v>
      </c>
      <c r="F144" s="39">
        <f>HearingAids[[#This Row],[haMSRP]]-((HearingAids[[#This Row],[ListPriceBinural]]-HearingAids[[#This Row],[chargerPrice]])/2)</f>
        <v>616.5</v>
      </c>
      <c r="G144" s="39">
        <f>HearingAids[[#This Row],[haMSRP]]-HearingAids[[#This Row],[Discount Amount 1]]</f>
        <v>2412.5</v>
      </c>
      <c r="H144" s="116">
        <v>5050</v>
      </c>
      <c r="I144" s="95" t="s">
        <v>177</v>
      </c>
      <c r="J144" s="2"/>
      <c r="K144" s="2">
        <f>HearingAids[[#This Row],[HAListPrice]]-HearingAids[[#This Row],[Discount Amount 2]]</f>
        <v>2412.5</v>
      </c>
      <c r="L144" s="116">
        <v>5050</v>
      </c>
      <c r="M144" s="94"/>
      <c r="N144" s="2">
        <f>HearingAids[[#This Row],[haNetPrice]]-((HearingAids[[#This Row],[haNetPriceBinural2]]-HearingAids[[#This Row],[chargerPrice]])/2)</f>
        <v>2525</v>
      </c>
      <c r="O144" s="94">
        <f>HearingAids[[#This Row],[haNetPrice]]-HearingAids[[#This Row],[Discount Amount 3]]</f>
        <v>-112.5</v>
      </c>
      <c r="P144" s="94"/>
      <c r="Q144" s="96">
        <v>1</v>
      </c>
      <c r="R144" s="125" t="s">
        <v>9</v>
      </c>
      <c r="S144" s="22">
        <v>225</v>
      </c>
      <c r="T144" s="97"/>
      <c r="U144" s="97"/>
      <c r="V144" s="98"/>
      <c r="X144" s="2"/>
      <c r="Y144" s="2"/>
      <c r="Z144" s="2"/>
      <c r="AA144" s="2"/>
      <c r="AB144" s="2"/>
      <c r="AC144" s="2"/>
      <c r="AD144" s="8"/>
    </row>
    <row r="145" spans="1:31" ht="12.75">
      <c r="A145" s="91" t="s">
        <v>623</v>
      </c>
      <c r="B145" s="92" t="s">
        <v>622</v>
      </c>
      <c r="C145" s="56">
        <f>(HearingAids[[#This Row],[haMSRP]]*2)+HearingAids[[#This Row],[chargerPrice]]</f>
        <v>9583</v>
      </c>
      <c r="D145" s="94">
        <v>4679</v>
      </c>
      <c r="E145" s="94" t="s">
        <v>538</v>
      </c>
      <c r="F145" s="39">
        <f>HearingAids[[#This Row],[haMSRP]]-((HearingAids[[#This Row],[ListPriceBinural]]-HearingAids[[#This Row],[chargerPrice]])/2)</f>
        <v>1266.5</v>
      </c>
      <c r="G145" s="39">
        <f>HearingAids[[#This Row],[haMSRP]]-HearingAids[[#This Row],[Discount Amount 1]]</f>
        <v>3412.5</v>
      </c>
      <c r="H145" s="116">
        <v>7050</v>
      </c>
      <c r="I145" s="95" t="s">
        <v>177</v>
      </c>
      <c r="J145" s="2"/>
      <c r="K145" s="2">
        <f>HearingAids[[#This Row],[HAListPrice]]-HearingAids[[#This Row],[Discount Amount 2]]</f>
        <v>3412.5</v>
      </c>
      <c r="L145" s="116">
        <v>7050</v>
      </c>
      <c r="M145" s="94"/>
      <c r="N145" s="2">
        <f>HearingAids[[#This Row],[haNetPrice]]-((HearingAids[[#This Row],[haNetPriceBinural2]]-HearingAids[[#This Row],[chargerPrice]])/2)</f>
        <v>3525</v>
      </c>
      <c r="O145" s="94">
        <f>HearingAids[[#This Row],[haNetPrice]]-HearingAids[[#This Row],[Discount Amount 3]]</f>
        <v>-112.5</v>
      </c>
      <c r="P145" s="94"/>
      <c r="Q145" s="96">
        <v>1</v>
      </c>
      <c r="R145" s="125" t="s">
        <v>9</v>
      </c>
      <c r="S145" s="22">
        <v>225</v>
      </c>
      <c r="T145" s="97" t="s">
        <v>14</v>
      </c>
      <c r="U145" s="97">
        <v>0</v>
      </c>
      <c r="V145" s="98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91" t="s">
        <v>621</v>
      </c>
      <c r="B146" s="93" t="s">
        <v>624</v>
      </c>
      <c r="C146" s="56">
        <f>(HearingAids[[#This Row],[haMSRP]]*2)+HearingAids[[#This Row],[chargerPrice]]</f>
        <v>7603</v>
      </c>
      <c r="D146" s="94">
        <v>3689</v>
      </c>
      <c r="E146" s="94" t="s">
        <v>538</v>
      </c>
      <c r="F146" s="39">
        <f>HearingAids[[#This Row],[haMSRP]]-((HearingAids[[#This Row],[ListPriceBinural]]-HearingAids[[#This Row],[chargerPrice]])/2)</f>
        <v>-373.5</v>
      </c>
      <c r="G146" s="39">
        <f>HearingAids[[#This Row],[haMSRP]]-HearingAids[[#This Row],[Discount Amount 1]]</f>
        <v>4062.5</v>
      </c>
      <c r="H146" s="116">
        <v>8350</v>
      </c>
      <c r="I146" s="95" t="s">
        <v>177</v>
      </c>
      <c r="J146" s="2"/>
      <c r="K146" s="2">
        <f>HearingAids[[#This Row],[HAListPrice]]-HearingAids[[#This Row],[Discount Amount 2]]</f>
        <v>4062.5</v>
      </c>
      <c r="L146" s="116">
        <v>8350</v>
      </c>
      <c r="M146" s="94"/>
      <c r="N146" s="2">
        <f>HearingAids[[#This Row],[haNetPrice]]-((HearingAids[[#This Row],[haNetPriceBinural2]]-HearingAids[[#This Row],[chargerPrice]])/2)</f>
        <v>4175</v>
      </c>
      <c r="O146" s="94">
        <f>HearingAids[[#This Row],[haNetPrice]]-HearingAids[[#This Row],[Discount Amount 3]]</f>
        <v>-112.5</v>
      </c>
      <c r="P146" s="94"/>
      <c r="Q146" s="96">
        <v>1</v>
      </c>
      <c r="R146" s="125" t="s">
        <v>9</v>
      </c>
      <c r="S146" s="22">
        <v>225</v>
      </c>
      <c r="T146" s="97" t="s">
        <v>14</v>
      </c>
      <c r="U146" s="97">
        <v>0</v>
      </c>
      <c r="V146" s="98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91" t="s">
        <v>619</v>
      </c>
      <c r="B147" s="92" t="s">
        <v>620</v>
      </c>
      <c r="C147" s="56">
        <f>(HearingAids[[#This Row],[haMSRP]]*2)+HearingAids[[#This Row],[chargerPrice]]</f>
        <v>11863</v>
      </c>
      <c r="D147" s="94">
        <v>5819</v>
      </c>
      <c r="E147" s="94" t="s">
        <v>538</v>
      </c>
      <c r="F147" s="39">
        <f>HearingAids[[#This Row],[haMSRP]]-((HearingAids[[#This Row],[ListPriceBinural]]-HearingAids[[#This Row],[chargerPrice]])/2)</f>
        <v>1206.5</v>
      </c>
      <c r="G147" s="39">
        <f>HearingAids[[#This Row],[haMSRP]]-HearingAids[[#This Row],[Discount Amount 1]]</f>
        <v>4612.5</v>
      </c>
      <c r="H147" s="116">
        <v>9450</v>
      </c>
      <c r="I147" s="95" t="s">
        <v>539</v>
      </c>
      <c r="J147" s="2">
        <f>(HearingAids[[#This Row],[haMSRP]]-HearingAids[[#This Row],[Discount Amount 1]])-(HearingAids[[#This Row],[haNetPriceBinural]]-HearingAids[[#This Row],[chargerPrice]])/2</f>
        <v>500</v>
      </c>
      <c r="K147" s="2">
        <f>HearingAids[[#This Row],[HAListPrice]]-HearingAids[[#This Row],[Discount Amount 2]]</f>
        <v>4112.5</v>
      </c>
      <c r="L147" s="116">
        <v>8450</v>
      </c>
      <c r="M147" s="94"/>
      <c r="N147" s="2">
        <f>HearingAids[[#This Row],[haNetPrice]]-((HearingAids[[#This Row],[haNetPriceBinural2]]-HearingAids[[#This Row],[chargerPrice]])/2)</f>
        <v>4225</v>
      </c>
      <c r="O147" s="94">
        <f>HearingAids[[#This Row],[haNetPrice]]-HearingAids[[#This Row],[Discount Amount 3]]</f>
        <v>-112.5</v>
      </c>
      <c r="P147" s="94"/>
      <c r="Q147" s="96">
        <v>1</v>
      </c>
      <c r="R147" s="125" t="s">
        <v>9</v>
      </c>
      <c r="S147" s="22">
        <v>225</v>
      </c>
      <c r="T147" s="97" t="s">
        <v>14</v>
      </c>
      <c r="U147" s="97">
        <v>0</v>
      </c>
      <c r="V147" s="98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91" t="s">
        <v>621</v>
      </c>
      <c r="B148" s="93" t="s">
        <v>622</v>
      </c>
      <c r="C148" s="56">
        <f>(HearingAids[[#This Row],[haMSRP]]*2)+HearingAids[[#This Row],[chargerPrice]]</f>
        <v>7603</v>
      </c>
      <c r="D148" s="94">
        <v>3689</v>
      </c>
      <c r="E148" s="94" t="s">
        <v>538</v>
      </c>
      <c r="F148" s="39">
        <f>HearingAids[[#This Row],[haMSRP]]-((HearingAids[[#This Row],[ListPriceBinural]]-HearingAids[[#This Row],[chargerPrice]])/2)</f>
        <v>276.5</v>
      </c>
      <c r="G148" s="39">
        <f>HearingAids[[#This Row],[haMSRP]]-HearingAids[[#This Row],[Discount Amount 1]]</f>
        <v>3412.5</v>
      </c>
      <c r="H148" s="116">
        <v>7050</v>
      </c>
      <c r="I148" s="95" t="s">
        <v>539</v>
      </c>
      <c r="J148" s="2">
        <f>(HearingAids[[#This Row],[haMSRP]]-HearingAids[[#This Row],[Discount Amount 1]])-(HearingAids[[#This Row],[haNetPriceBinural]]-HearingAids[[#This Row],[chargerPrice]])/2</f>
        <v>500</v>
      </c>
      <c r="K148" s="2">
        <f>HearingAids[[#This Row],[HAListPrice]]-HearingAids[[#This Row],[Discount Amount 2]]</f>
        <v>2912.5</v>
      </c>
      <c r="L148" s="116">
        <v>6050</v>
      </c>
      <c r="M148" s="94"/>
      <c r="N148" s="2">
        <f>HearingAids[[#This Row],[haNetPrice]]-((HearingAids[[#This Row],[haNetPriceBinural2]]-HearingAids[[#This Row],[chargerPrice]])/2)</f>
        <v>3025</v>
      </c>
      <c r="O148" s="94">
        <f>HearingAids[[#This Row],[haNetPrice]]-HearingAids[[#This Row],[Discount Amount 3]]</f>
        <v>-112.5</v>
      </c>
      <c r="P148" s="94"/>
      <c r="Q148" s="96">
        <v>1</v>
      </c>
      <c r="R148" s="125" t="s">
        <v>9</v>
      </c>
      <c r="S148" s="22">
        <v>225</v>
      </c>
      <c r="T148" s="97" t="s">
        <v>14</v>
      </c>
      <c r="U148" s="97">
        <v>0</v>
      </c>
      <c r="V148" s="98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91" t="s">
        <v>623</v>
      </c>
      <c r="B149" s="92" t="s">
        <v>624</v>
      </c>
      <c r="C149" s="56">
        <f>(HearingAids[[#This Row],[haMSRP]]*2)+HearingAids[[#This Row],[chargerPrice]]</f>
        <v>9583</v>
      </c>
      <c r="D149" s="94">
        <v>4679</v>
      </c>
      <c r="E149" s="94" t="s">
        <v>538</v>
      </c>
      <c r="F149" s="39">
        <f>HearingAids[[#This Row],[haMSRP]]-((HearingAids[[#This Row],[ListPriceBinural]]-HearingAids[[#This Row],[chargerPrice]])/2)</f>
        <v>616.5</v>
      </c>
      <c r="G149" s="39">
        <f>HearingAids[[#This Row],[haMSRP]]-HearingAids[[#This Row],[Discount Amount 1]]</f>
        <v>4062.5</v>
      </c>
      <c r="H149" s="116">
        <v>8350</v>
      </c>
      <c r="I149" s="95" t="s">
        <v>539</v>
      </c>
      <c r="J149" s="2">
        <f>(HearingAids[[#This Row],[haMSRP]]-HearingAids[[#This Row],[Discount Amount 1]])-(HearingAids[[#This Row],[haNetPriceBinural]]-HearingAids[[#This Row],[chargerPrice]])/2</f>
        <v>500</v>
      </c>
      <c r="K149" s="2">
        <f>HearingAids[[#This Row],[HAListPrice]]-HearingAids[[#This Row],[Discount Amount 2]]</f>
        <v>3562.5</v>
      </c>
      <c r="L149" s="116">
        <v>7350</v>
      </c>
      <c r="M149" s="94"/>
      <c r="N149" s="2">
        <f>HearingAids[[#This Row],[haNetPrice]]-((HearingAids[[#This Row],[haNetPriceBinural2]]-HearingAids[[#This Row],[chargerPrice]])/2)</f>
        <v>3675</v>
      </c>
      <c r="O149" s="94">
        <f>HearingAids[[#This Row],[haNetPrice]]-HearingAids[[#This Row],[Discount Amount 3]]</f>
        <v>-112.5</v>
      </c>
      <c r="P149" s="94"/>
      <c r="Q149" s="96">
        <v>1</v>
      </c>
      <c r="R149" s="125" t="s">
        <v>9</v>
      </c>
      <c r="S149" s="22">
        <v>225</v>
      </c>
      <c r="T149" s="97" t="s">
        <v>14</v>
      </c>
      <c r="U149" s="97">
        <v>0</v>
      </c>
      <c r="V149" s="98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91" t="s">
        <v>619</v>
      </c>
      <c r="B150" s="93" t="s">
        <v>620</v>
      </c>
      <c r="C150" s="56">
        <f>(HearingAids[[#This Row],[haMSRP]]*2)+HearingAids[[#This Row],[chargerPrice]]</f>
        <v>11863</v>
      </c>
      <c r="D150" s="94">
        <v>5819</v>
      </c>
      <c r="E150" s="94" t="s">
        <v>538</v>
      </c>
      <c r="F150" s="39">
        <f>HearingAids[[#This Row],[haMSRP]]-((HearingAids[[#This Row],[ListPriceBinural]]-HearingAids[[#This Row],[chargerPrice]])/2)</f>
        <v>1206.5</v>
      </c>
      <c r="G150" s="39">
        <f>HearingAids[[#This Row],[haMSRP]]-HearingAids[[#This Row],[Discount Amount 1]]</f>
        <v>4612.5</v>
      </c>
      <c r="H150" s="116">
        <v>9450</v>
      </c>
      <c r="I150" s="95" t="s">
        <v>421</v>
      </c>
      <c r="J150" s="2">
        <f>((HearingAids[[#This Row],[haMSRP]]-HearingAids[[#This Row],[Discount Amount 1]])-(HearingAids[[#This Row],[haNetPriceBinural]]-HearingAids[[#This Row],[chargerPrice]])/2)+500</f>
        <v>1425</v>
      </c>
      <c r="K150" s="2">
        <f>HearingAids[[#This Row],[HAListPrice]]-HearingAids[[#This Row],[Discount Amount 2]]</f>
        <v>3187.5</v>
      </c>
      <c r="L150" s="116">
        <v>7600</v>
      </c>
      <c r="M150" s="95"/>
      <c r="N150" s="2"/>
      <c r="O150" s="95">
        <v>3675</v>
      </c>
      <c r="P150" s="94">
        <v>7600</v>
      </c>
      <c r="Q150" s="96">
        <v>1</v>
      </c>
      <c r="R150" s="125" t="s">
        <v>9</v>
      </c>
      <c r="S150" s="22">
        <v>225</v>
      </c>
      <c r="T150" s="97" t="s">
        <v>14</v>
      </c>
      <c r="U150" s="97">
        <v>0</v>
      </c>
      <c r="V150" s="98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91" t="s">
        <v>621</v>
      </c>
      <c r="B151" s="92" t="s">
        <v>622</v>
      </c>
      <c r="C151" s="56">
        <f>(HearingAids[[#This Row],[haMSRP]]*2)+HearingAids[[#This Row],[chargerPrice]]</f>
        <v>7603</v>
      </c>
      <c r="D151" s="94">
        <v>3689</v>
      </c>
      <c r="E151" s="94" t="s">
        <v>538</v>
      </c>
      <c r="F151" s="39">
        <f>HearingAids[[#This Row],[haMSRP]]-((HearingAids[[#This Row],[ListPriceBinural]]-HearingAids[[#This Row],[chargerPrice]])/2)</f>
        <v>276.5</v>
      </c>
      <c r="G151" s="39">
        <f>HearingAids[[#This Row],[haMSRP]]-HearingAids[[#This Row],[Discount Amount 1]]</f>
        <v>3412.5</v>
      </c>
      <c r="H151" s="116">
        <v>7050</v>
      </c>
      <c r="I151" s="95" t="s">
        <v>421</v>
      </c>
      <c r="J151" s="2">
        <f>((HearingAids[[#This Row],[haMSRP]]-HearingAids[[#This Row],[Discount Amount 1]])-(HearingAids[[#This Row],[haNetPriceBinural]]-HearingAids[[#This Row],[chargerPrice]])/2)+500</f>
        <v>1125</v>
      </c>
      <c r="K151" s="2">
        <f>HearingAids[[#This Row],[HAListPrice]]-HearingAids[[#This Row],[Discount Amount 2]]</f>
        <v>2287.5</v>
      </c>
      <c r="L151" s="116">
        <v>5800</v>
      </c>
      <c r="M151" s="95"/>
      <c r="N151" s="2"/>
      <c r="O151" s="95">
        <v>2775</v>
      </c>
      <c r="P151" s="94">
        <v>5800</v>
      </c>
      <c r="Q151" s="96">
        <v>1</v>
      </c>
      <c r="R151" s="125" t="s">
        <v>9</v>
      </c>
      <c r="S151" s="22">
        <v>225</v>
      </c>
      <c r="T151" s="97" t="s">
        <v>14</v>
      </c>
      <c r="U151" s="97">
        <v>0</v>
      </c>
      <c r="V151" s="98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99" t="s">
        <v>623</v>
      </c>
      <c r="B152" s="100" t="s">
        <v>624</v>
      </c>
      <c r="C152" s="56">
        <f>(HearingAids[[#This Row],[haMSRP]]*2)+HearingAids[[#This Row],[chargerPrice]]</f>
        <v>9583</v>
      </c>
      <c r="D152" s="101">
        <v>4679</v>
      </c>
      <c r="E152" s="101" t="s">
        <v>538</v>
      </c>
      <c r="F152" s="39">
        <f>HearingAids[[#This Row],[haMSRP]]-((HearingAids[[#This Row],[ListPriceBinural]]-HearingAids[[#This Row],[chargerPrice]])/2)</f>
        <v>616.5</v>
      </c>
      <c r="G152" s="39">
        <f>HearingAids[[#This Row],[haMSRP]]-HearingAids[[#This Row],[Discount Amount 1]]</f>
        <v>4062.5</v>
      </c>
      <c r="H152" s="116">
        <v>8350</v>
      </c>
      <c r="I152" s="102" t="s">
        <v>421</v>
      </c>
      <c r="J152" s="2">
        <f>((HearingAids[[#This Row],[haMSRP]]-HearingAids[[#This Row],[Discount Amount 1]])-(HearingAids[[#This Row],[haNetPriceBinural]]-HearingAids[[#This Row],[chargerPrice]])/2)+500</f>
        <v>1375</v>
      </c>
      <c r="K152" s="2">
        <f>HearingAids[[#This Row],[HAListPrice]]-HearingAids[[#This Row],[Discount Amount 2]]</f>
        <v>2687.5</v>
      </c>
      <c r="L152" s="116">
        <v>6600</v>
      </c>
      <c r="M152" s="102"/>
      <c r="N152" s="101"/>
      <c r="O152" s="102">
        <v>3175</v>
      </c>
      <c r="P152" s="101">
        <v>6600</v>
      </c>
      <c r="Q152" s="103">
        <v>1</v>
      </c>
      <c r="R152" s="126" t="s">
        <v>9</v>
      </c>
      <c r="S152" s="22">
        <v>225</v>
      </c>
      <c r="T152" s="104" t="s">
        <v>14</v>
      </c>
      <c r="U152" s="104">
        <v>0</v>
      </c>
      <c r="V152" s="105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106" t="s">
        <v>500</v>
      </c>
      <c r="B153" s="106" t="s">
        <v>507</v>
      </c>
      <c r="C153" s="107">
        <f>(HearingAids[[#This Row],[haMSRP]]*2)+HearingAids[[#This Row],[chargerPrice]]</f>
        <v>4903</v>
      </c>
      <c r="D153" s="108">
        <v>2339</v>
      </c>
      <c r="E153" s="108" t="s">
        <v>538</v>
      </c>
      <c r="F153" s="108">
        <f>HearingAids[[#This Row],[haMSRP]]-((HearingAids[[#This Row],[ListPriceBinural]]-HearingAids[[#This Row],[chargerPrice]])/2)</f>
        <v>701.5</v>
      </c>
      <c r="G153" s="108">
        <f>HearingAids[[#This Row],[haMSRP]]-HearingAids[[#This Row],[Discount Amount 1]]</f>
        <v>1637.5</v>
      </c>
      <c r="H153" s="118">
        <v>3500</v>
      </c>
      <c r="I153" s="109" t="s">
        <v>625</v>
      </c>
      <c r="J153" s="110">
        <f>(HearingAids[[#This Row],[haMSRP]]-HearingAids[[#This Row],[Discount Amount 1]])-(HearingAids[[#This Row],[haNetPriceBinural]]-HearingAids[[#This Row],[chargerPrice]])/2</f>
        <v>55</v>
      </c>
      <c r="K153" s="110">
        <f>HearingAids[[#This Row],[HAListPrice]]-HearingAids[[#This Row],[Discount Amount 2]]</f>
        <v>1582.5</v>
      </c>
      <c r="L153" s="118">
        <v>3390</v>
      </c>
      <c r="M153" s="110"/>
      <c r="N153" s="110">
        <f>((HearingAids[[#This Row],[haNetPriceBinural]]-HearingAids[[#This Row],[chargerPrice]])/2)-HearingAids[[#This Row],[haNetPriceBinural2]]</f>
        <v>1582.5</v>
      </c>
      <c r="O153" s="110">
        <f>HearingAids[[#This Row],[haNetPrice]]-HearingAids[[#This Row],[Discount Amount 3]]</f>
        <v>0</v>
      </c>
      <c r="P153" s="108"/>
      <c r="Q153" s="111">
        <v>1</v>
      </c>
      <c r="R153" s="127" t="s">
        <v>9</v>
      </c>
      <c r="S153" s="22">
        <v>225</v>
      </c>
      <c r="T153" s="113" t="s">
        <v>26</v>
      </c>
      <c r="U153" s="113">
        <v>0</v>
      </c>
      <c r="V153" s="108" t="s">
        <v>11</v>
      </c>
      <c r="Y153" s="25"/>
      <c r="Z153" s="25"/>
      <c r="AA153" s="25"/>
      <c r="AB153"/>
      <c r="AC153"/>
      <c r="AD153"/>
      <c r="AE153"/>
    </row>
    <row r="154" spans="1:31" ht="12.75">
      <c r="A154" s="106" t="s">
        <v>413</v>
      </c>
      <c r="B154" s="106" t="s">
        <v>416</v>
      </c>
      <c r="C154" s="107">
        <f>(HearingAids[[#This Row],[haMSRP]]*2)+HearingAids[[#This Row],[chargerPrice]]</f>
        <v>11963</v>
      </c>
      <c r="D154" s="108">
        <v>5819</v>
      </c>
      <c r="E154" s="108" t="s">
        <v>538</v>
      </c>
      <c r="F154" s="108">
        <f>HearingAids[[#This Row],[haMSRP]]-((HearingAids[[#This Row],[ListPriceBinural]]-HearingAids[[#This Row],[chargerPrice]])/2)</f>
        <v>1256.5</v>
      </c>
      <c r="G154" s="108">
        <f>HearingAids[[#This Row],[haMSRP]]-HearingAids[[#This Row],[Discount Amount 1]]</f>
        <v>4562.5</v>
      </c>
      <c r="H154" s="119">
        <v>9450</v>
      </c>
      <c r="I154" s="109" t="s">
        <v>625</v>
      </c>
      <c r="J154" s="110">
        <f>(HearingAids[[#This Row],[haMSRP]]-HearingAids[[#This Row],[Discount Amount 1]])-(HearingAids[[#This Row],[haNetPriceBinural]]-HearingAids[[#This Row],[chargerPrice]])/2</f>
        <v>1380</v>
      </c>
      <c r="K154" s="110">
        <f>HearingAids[[#This Row],[HAListPrice]]-HearingAids[[#This Row],[Discount Amount 2]]</f>
        <v>3182.5</v>
      </c>
      <c r="L154" s="119">
        <v>6690</v>
      </c>
      <c r="M154" s="110"/>
      <c r="N154" s="110">
        <f>((HearingAids[[#This Row],[haNetPriceBinural]]-HearingAids[[#This Row],[chargerPrice]])/2)-HearingAids[[#This Row],[haNetPriceBinural2]]</f>
        <v>3182.5</v>
      </c>
      <c r="O154" s="110">
        <f>HearingAids[[#This Row],[haNetPrice]]-HearingAids[[#This Row],[Discount Amount 3]]</f>
        <v>0</v>
      </c>
      <c r="P154" s="110"/>
      <c r="Q154" s="112">
        <v>1</v>
      </c>
      <c r="R154" s="112" t="s">
        <v>13</v>
      </c>
      <c r="S154" s="40">
        <v>325</v>
      </c>
      <c r="T154" s="113" t="s">
        <v>14</v>
      </c>
      <c r="U154" s="114">
        <v>0</v>
      </c>
      <c r="V154" s="108" t="s">
        <v>11</v>
      </c>
      <c r="Y154" s="25"/>
      <c r="Z154" s="25"/>
      <c r="AA154" s="25"/>
      <c r="AB154"/>
      <c r="AC154"/>
      <c r="AD154"/>
      <c r="AE154"/>
    </row>
    <row r="155" spans="1:31" ht="12.75">
      <c r="A155" s="106" t="s">
        <v>414</v>
      </c>
      <c r="B155" s="106" t="s">
        <v>417</v>
      </c>
      <c r="C155" s="107">
        <f>(HearingAids[[#This Row],[haMSRP]]*2)+HearingAids[[#This Row],[chargerPrice]]</f>
        <v>7703</v>
      </c>
      <c r="D155" s="108">
        <v>3689</v>
      </c>
      <c r="E155" s="108" t="s">
        <v>538</v>
      </c>
      <c r="F155" s="108">
        <f>HearingAids[[#This Row],[haMSRP]]-((HearingAids[[#This Row],[ListPriceBinural]]-HearingAids[[#This Row],[chargerPrice]])/2)</f>
        <v>326.5</v>
      </c>
      <c r="G155" s="108">
        <f>HearingAids[[#This Row],[haMSRP]]-HearingAids[[#This Row],[Discount Amount 1]]</f>
        <v>3362.5</v>
      </c>
      <c r="H155" s="119">
        <v>7050</v>
      </c>
      <c r="I155" s="109" t="s">
        <v>625</v>
      </c>
      <c r="J155" s="110">
        <f>(HearingAids[[#This Row],[haMSRP]]-HearingAids[[#This Row],[Discount Amount 1]])-(HearingAids[[#This Row],[haNetPriceBinural]]-HearingAids[[#This Row],[chargerPrice]])/2</f>
        <v>1080</v>
      </c>
      <c r="K155" s="110">
        <f>HearingAids[[#This Row],[HAListPrice]]-HearingAids[[#This Row],[Discount Amount 2]]</f>
        <v>2282.5</v>
      </c>
      <c r="L155" s="119">
        <v>4890</v>
      </c>
      <c r="M155" s="110"/>
      <c r="N155" s="110">
        <f>((HearingAids[[#This Row],[haNetPriceBinural]]-HearingAids[[#This Row],[chargerPrice]])/2)-HearingAids[[#This Row],[haNetPriceBinural2]]</f>
        <v>2282.5</v>
      </c>
      <c r="O155" s="110">
        <f>HearingAids[[#This Row],[haNetPrice]]-HearingAids[[#This Row],[Discount Amount 3]]</f>
        <v>0</v>
      </c>
      <c r="P155" s="110"/>
      <c r="Q155" s="112">
        <v>1</v>
      </c>
      <c r="R155" s="112" t="s">
        <v>13</v>
      </c>
      <c r="S155" s="40">
        <v>325</v>
      </c>
      <c r="T155" s="113" t="s">
        <v>14</v>
      </c>
      <c r="U155" s="114">
        <v>0</v>
      </c>
      <c r="V155" s="108" t="s">
        <v>11</v>
      </c>
      <c r="Y155" s="25"/>
      <c r="Z155" s="25"/>
      <c r="AA155" s="25"/>
      <c r="AB155"/>
      <c r="AC155"/>
      <c r="AD155"/>
      <c r="AE155"/>
    </row>
    <row r="156" spans="1:31" ht="12.75">
      <c r="A156" s="106" t="s">
        <v>415</v>
      </c>
      <c r="B156" s="106" t="s">
        <v>418</v>
      </c>
      <c r="C156" s="107">
        <f>(HearingAids[[#This Row],[haMSRP]]*2)+HearingAids[[#This Row],[chargerPrice]]</f>
        <v>9683</v>
      </c>
      <c r="D156" s="108">
        <v>4679</v>
      </c>
      <c r="E156" s="108" t="s">
        <v>538</v>
      </c>
      <c r="F156" s="108">
        <f>HearingAids[[#This Row],[haMSRP]]-((HearingAids[[#This Row],[ListPriceBinural]]-HearingAids[[#This Row],[chargerPrice]])/2)</f>
        <v>666.5</v>
      </c>
      <c r="G156" s="108">
        <f>HearingAids[[#This Row],[haMSRP]]-HearingAids[[#This Row],[Discount Amount 1]]</f>
        <v>4012.5</v>
      </c>
      <c r="H156" s="119">
        <v>8350</v>
      </c>
      <c r="I156" s="109" t="s">
        <v>625</v>
      </c>
      <c r="J156" s="110">
        <f>(HearingAids[[#This Row],[haMSRP]]-HearingAids[[#This Row],[Discount Amount 1]])-(HearingAids[[#This Row],[haNetPriceBinural]]-HearingAids[[#This Row],[chargerPrice]])/2</f>
        <v>1330</v>
      </c>
      <c r="K156" s="110">
        <f>HearingAids[[#This Row],[HAListPrice]]-HearingAids[[#This Row],[Discount Amount 2]]</f>
        <v>2682.5</v>
      </c>
      <c r="L156" s="119">
        <v>5690</v>
      </c>
      <c r="M156" s="110"/>
      <c r="N156" s="110">
        <f>((HearingAids[[#This Row],[haNetPriceBinural]]-HearingAids[[#This Row],[chargerPrice]])/2)-HearingAids[[#This Row],[haNetPriceBinural2]]</f>
        <v>2682.5</v>
      </c>
      <c r="O156" s="110">
        <f>HearingAids[[#This Row],[haNetPrice]]-HearingAids[[#This Row],[Discount Amount 3]]</f>
        <v>0</v>
      </c>
      <c r="P156" s="110"/>
      <c r="Q156" s="112">
        <v>1</v>
      </c>
      <c r="R156" s="112" t="s">
        <v>13</v>
      </c>
      <c r="S156" s="40">
        <v>325</v>
      </c>
      <c r="T156" s="113" t="s">
        <v>14</v>
      </c>
      <c r="U156" s="114">
        <v>0</v>
      </c>
      <c r="V156" s="108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/>
      <c r="B157" s="3"/>
      <c r="C157" s="3"/>
      <c r="I157" s="8"/>
      <c r="J157" s="8"/>
      <c r="K157" s="8"/>
      <c r="M157" s="2"/>
      <c r="N157" s="2"/>
      <c r="O157" s="2"/>
      <c r="Q157" s="4"/>
      <c r="U157" s="2"/>
      <c r="X157" s="2"/>
      <c r="Y157" s="2"/>
      <c r="Z157" s="2"/>
      <c r="AA157" s="2"/>
      <c r="AB157" s="2"/>
      <c r="AC157" s="2"/>
      <c r="AD157" s="2"/>
    </row>
    <row r="158" spans="1:31" ht="12.75">
      <c r="A158" s="3"/>
      <c r="B158" s="3"/>
      <c r="C158" s="3"/>
      <c r="I158" s="8"/>
      <c r="J158" s="8"/>
      <c r="K158" s="8"/>
      <c r="M158" s="2"/>
      <c r="N158" s="2"/>
      <c r="O158" s="2"/>
      <c r="Q158" s="4"/>
      <c r="U158" s="2"/>
      <c r="X158" s="2"/>
      <c r="Y158" s="2"/>
      <c r="Z158" s="2"/>
      <c r="AA158" s="2"/>
      <c r="AB158" s="2"/>
      <c r="AC158" s="2"/>
      <c r="AD158" s="8"/>
    </row>
    <row r="159" spans="1:31" ht="12.75">
      <c r="A159" s="3"/>
      <c r="B159" s="3"/>
      <c r="C159" s="3"/>
      <c r="I159" s="8"/>
      <c r="J159" s="8"/>
      <c r="K159" s="8"/>
      <c r="M159" s="2"/>
      <c r="N159" s="2"/>
      <c r="O159" s="2"/>
      <c r="Q159" s="4"/>
      <c r="U159" s="2"/>
      <c r="X159" s="2"/>
      <c r="Y159" s="2"/>
      <c r="Z159" s="2"/>
      <c r="AA159" s="2"/>
      <c r="AB159" s="2"/>
      <c r="AC159" s="2"/>
      <c r="AD159" s="8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2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30"/>
      <c r="B191" s="30"/>
      <c r="C191" s="30"/>
      <c r="I191" s="32"/>
      <c r="J191" s="32"/>
      <c r="K191" s="32"/>
      <c r="M191" s="32"/>
      <c r="N191" s="32"/>
      <c r="O191" s="32"/>
      <c r="Q191" s="31"/>
      <c r="U191" s="32"/>
      <c r="X191" s="8"/>
      <c r="Y191" s="32"/>
      <c r="Z191" s="32"/>
      <c r="AA191" s="32"/>
      <c r="AB191" s="32"/>
      <c r="AC191" s="32"/>
      <c r="AD191" s="32"/>
    </row>
    <row r="192" spans="1:30" ht="12.75">
      <c r="A192" s="30"/>
      <c r="B192" s="30"/>
      <c r="C192" s="30"/>
      <c r="I192" s="32"/>
      <c r="J192" s="32"/>
      <c r="K192" s="32"/>
      <c r="M192" s="32"/>
      <c r="N192" s="32"/>
      <c r="O192" s="32"/>
      <c r="Q192" s="31"/>
      <c r="U192" s="32"/>
      <c r="X192" s="8"/>
      <c r="Y192" s="32"/>
      <c r="Z192" s="32"/>
      <c r="AA192" s="32"/>
      <c r="AB192" s="32"/>
      <c r="AC192" s="32"/>
      <c r="AD192" s="32"/>
    </row>
    <row r="193" spans="1:30" ht="12.75">
      <c r="A193" s="30"/>
      <c r="B193" s="30"/>
      <c r="C193" s="30"/>
      <c r="I193" s="32"/>
      <c r="J193" s="32"/>
      <c r="K193" s="32"/>
      <c r="M193" s="32"/>
      <c r="N193" s="32"/>
      <c r="O193" s="32"/>
      <c r="Q193" s="31"/>
      <c r="U193" s="32"/>
      <c r="X193" s="8"/>
      <c r="Y193" s="32"/>
      <c r="Z193" s="32"/>
      <c r="AA193" s="32"/>
      <c r="AB193" s="32"/>
      <c r="AC193" s="32"/>
      <c r="AD193" s="32"/>
    </row>
    <row r="194" spans="1:30" ht="12.75">
      <c r="A194" s="30"/>
      <c r="B194" s="30"/>
      <c r="C194" s="30"/>
      <c r="I194" s="32"/>
      <c r="J194" s="32"/>
      <c r="K194" s="32"/>
      <c r="M194" s="32"/>
      <c r="N194" s="32"/>
      <c r="O194" s="32"/>
      <c r="Q194" s="31"/>
      <c r="U194" s="32"/>
      <c r="X194" s="8"/>
      <c r="Y194" s="32"/>
      <c r="Z194" s="32"/>
      <c r="AA194" s="32"/>
      <c r="AB194" s="32"/>
      <c r="AC194" s="32"/>
      <c r="AD194" s="32"/>
    </row>
    <row r="195" spans="1:30" ht="12.75">
      <c r="A195" s="30"/>
      <c r="B195" s="30"/>
      <c r="C195" s="30"/>
      <c r="I195" s="32"/>
      <c r="J195" s="32"/>
      <c r="K195" s="32"/>
      <c r="M195" s="32"/>
      <c r="N195" s="32"/>
      <c r="O195" s="32"/>
      <c r="Q195" s="31"/>
      <c r="U195" s="32"/>
      <c r="X195" s="8"/>
      <c r="Y195" s="32"/>
      <c r="Z195" s="32"/>
      <c r="AA195" s="32"/>
      <c r="AB195" s="32"/>
      <c r="AC195" s="32"/>
      <c r="AD195" s="32"/>
    </row>
    <row r="196" spans="1:30" ht="12.75">
      <c r="A196" s="30"/>
      <c r="B196" s="30"/>
      <c r="C196" s="30"/>
      <c r="I196" s="32"/>
      <c r="J196" s="32"/>
      <c r="K196" s="32"/>
      <c r="M196" s="32"/>
      <c r="N196" s="32"/>
      <c r="O196" s="32"/>
      <c r="Q196" s="31"/>
      <c r="U196" s="32"/>
      <c r="X196" s="8"/>
      <c r="Y196" s="32"/>
      <c r="Z196" s="32"/>
      <c r="AA196" s="32"/>
      <c r="AB196" s="32"/>
      <c r="AC196" s="32"/>
      <c r="AD196" s="32"/>
    </row>
    <row r="197" spans="1:30" ht="12.75">
      <c r="A197" s="30"/>
      <c r="B197" s="30"/>
      <c r="C197" s="30"/>
      <c r="I197" s="32"/>
      <c r="J197" s="32"/>
      <c r="K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6" activePane="bottomLeft" state="frozen"/>
      <selection pane="bottomLeft" activeCell="G50" sqref="G50:G52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75</v>
      </c>
      <c r="G42" s="25">
        <f>Table2[[#This Row],[remoteListAmount]]-Table2[[#This Row],[remoteDiscountAmount]]</f>
        <v>100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100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25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50</v>
      </c>
      <c r="G45" s="25">
        <f>Table2[[#This Row],[remoteListAmount]]-Table2[[#This Row],[remoteDiscountAmount]]</f>
        <v>400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50</v>
      </c>
      <c r="G46" s="25">
        <f>Table2[[#This Row],[remoteListAmount]]-Table2[[#This Row],[remoteDiscountAmount]]</f>
        <v>400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75</v>
      </c>
      <c r="G47" s="25">
        <f>Table2[[#This Row],[remoteListAmount]]-Table2[[#This Row],[remoteDiscountAmount]]</f>
        <v>100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100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5">
        <f>Table2[[#This Row],[remoteListAmount]]-Table2[[#This Row],[remoteDiscountAmount]]</f>
        <v>450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5">
        <f>Table2[[#This Row],[remoteListAmount]]-Table2[[#This Row],[remoteDiscountAmount]]</f>
        <v>325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5">
        <f>Table2[[#This Row],[remoteListAmount]]-Table2[[#This Row],[remoteDiscountAmount]]</f>
        <v>450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4">
        <f>Table2[[#This Row],[remoteListAmount]]-Table2[[#This Row],[remoteDiscountAmount]]</f>
        <v>225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4">
        <f>Table2[[#This Row],[remoteListAmount]]-Table2[[#This Row],[remoteDiscountAmount]]</f>
        <v>325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4">
        <f>Table2[[#This Row],[remoteListAmount]]-Table2[[#This Row],[remoteDiscountAmount]]</f>
        <v>225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4">
        <f>Table2[[#This Row],[remoteListAmount]]-Table2[[#This Row],[remoteDiscountAmount]]</f>
        <v>325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225</v>
      </c>
      <c r="F75" s="50">
        <v>0</v>
      </c>
      <c r="G75" s="35">
        <f>Table2[[#This Row],[remoteListAmount]]-Table2[[#This Row],[remoteDiscountAmount]]</f>
        <v>225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325</v>
      </c>
      <c r="F76" s="50">
        <v>0</v>
      </c>
      <c r="G76" s="35">
        <f>Table2[[#This Row],[remoteListAmount]]-Table2[[#This Row],[remoteDiscountAmount]]</f>
        <v>325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50">
        <v>0</v>
      </c>
      <c r="G79" s="35">
        <f>Table2[[#This Row],[remoteListAmount]]-Table2[[#This Row],[remoteDiscountAmount]]</f>
        <v>325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50">
        <v>0</v>
      </c>
      <c r="G84" s="35">
        <f>Table2[[#This Row],[remoteListAmount]]-Table2[[#This Row],[remoteDiscountAmount]]</f>
        <v>175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50">
        <v>0</v>
      </c>
      <c r="G86" s="35">
        <f>Table2[[#This Row],[remoteListAmount]]-Table2[[#This Row],[remoteDiscountAmount]]</f>
        <v>450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50">
        <v>0</v>
      </c>
      <c r="G88" s="35">
        <f>Table2[[#This Row],[remoteListAmount]]-Table2[[#This Row],[remoteDiscountAmount]]</f>
        <v>325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50">
        <v>0</v>
      </c>
      <c r="G89" s="35">
        <f>Table2[[#This Row],[remoteListAmount]]-Table2[[#This Row],[remoteDiscountAmount]]</f>
        <v>450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19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Early Lease Upgrade</v>
      </c>
      <c r="C5" t="s">
        <v>64</v>
      </c>
    </row>
    <row r="6" spans="1:5">
      <c r="A6" t="str">
        <v>Beltone BTE Digital Boost Ultra 6 95DWT</v>
      </c>
      <c r="B6" t="str">
        <v>Fast Funding</v>
      </c>
      <c r="C6" t="s">
        <v>596</v>
      </c>
    </row>
    <row r="7" spans="1:5">
      <c r="A7" t="str">
        <v>Beltone BTE Digital Boost Ultra 9 86DWHT</v>
      </c>
      <c r="B7" t="str">
        <v>GHB Competitive</v>
      </c>
      <c r="C7" t="s">
        <v>65</v>
      </c>
    </row>
    <row r="8" spans="1:5">
      <c r="A8" t="str">
        <v>Beltone BTE Digital Boost Ultra 9 95DWT</v>
      </c>
      <c r="B8" t="str">
        <v>HCS Competitive</v>
      </c>
    </row>
    <row r="9" spans="1:5">
      <c r="A9" t="str">
        <v>Beltone BTE Digital Rely 2 66DW</v>
      </c>
      <c r="B9" t="str">
        <v>HearUSA Competitive</v>
      </c>
    </row>
    <row r="10" spans="1:5">
      <c r="A10" t="str">
        <v>Beltone BTE Digital Rely 2 76DW</v>
      </c>
      <c r="B10" t="str">
        <v>Humana</v>
      </c>
    </row>
    <row r="11" spans="1:5">
      <c r="A11" t="str">
        <v>Beltone BTE Digital Rely 2 86DWH</v>
      </c>
      <c r="B11" t="str">
        <v>Marketing Offer</v>
      </c>
    </row>
    <row r="12" spans="1:5">
      <c r="A12" t="str">
        <v>Beltone BTE Digital Rely 2 95DW</v>
      </c>
      <c r="B12" t="str">
        <v>Martins Point Competitive</v>
      </c>
    </row>
    <row r="13" spans="1:5">
      <c r="A13" t="str">
        <v>Beltone BTE Digital Rely 3 66DW</v>
      </c>
      <c r="B13" t="str">
        <v>Nations Hearing Competitive</v>
      </c>
    </row>
    <row r="14" spans="1:5">
      <c r="A14" t="str">
        <v>Beltone BTE Digital Rely 3 76DW</v>
      </c>
      <c r="B14" t="str">
        <v>Open House Special</v>
      </c>
    </row>
    <row r="15" spans="1:5">
      <c r="A15" t="str">
        <v>Beltone BTE Digital Rely 3 86DWH</v>
      </c>
      <c r="B15" t="str">
        <v>Tri-Care</v>
      </c>
    </row>
    <row r="16" spans="1:5">
      <c r="A16" t="str">
        <v>Beltone BTE Digital Rely 3 95DW</v>
      </c>
      <c r="B16" t="str">
        <v>TruHearing Competitive</v>
      </c>
    </row>
    <row r="17" spans="1:2">
      <c r="A17" t="str">
        <v>Beltone BTE Digital Rely 4 66DW</v>
      </c>
      <c r="B17" t="str">
        <v>UHCH Competitive</v>
      </c>
    </row>
    <row r="18" spans="1:2">
      <c r="A18" t="str">
        <v>Beltone BTE Digital Rely 4 76DW</v>
      </c>
      <c r="B18" t="str">
        <v>Veterans Discount</v>
      </c>
    </row>
    <row r="19" spans="1:2">
      <c r="A19" t="str">
        <v>Beltone BTE Digital Rely 4 86DWH</v>
      </c>
      <c r="B19" t="str">
        <v>WellCare Competitive</v>
      </c>
    </row>
    <row r="20" spans="1:2">
      <c r="A20" t="str">
        <v>Beltone BTE Digital Rely 4 95DW</v>
      </c>
    </row>
    <row r="21" spans="1:2">
      <c r="A21" t="str">
        <v>Beltone CIC Digital Rely 3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2026-01-07T14:31:58Z</dcterms:modified>
  <cp:category/>
  <cp:contentStatus/>
</cp:coreProperties>
</file>