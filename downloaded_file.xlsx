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81" documentId="8_{964C585B-190F-46EC-9553-F8D486DF59FA}" xr6:coauthVersionLast="47" xr6:coauthVersionMax="47" xr10:uidLastSave="{D1671026-A3FC-4D43-BA33-33EABB5CBA86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0" i="1" l="1"/>
  <c r="N160" i="1" s="1"/>
  <c r="L161" i="1"/>
  <c r="N161" i="1" s="1"/>
  <c r="L162" i="1"/>
  <c r="N162" i="1" s="1"/>
  <c r="L163" i="1"/>
  <c r="N163" i="1" s="1"/>
  <c r="C160" i="1"/>
  <c r="F160" i="1" s="1"/>
  <c r="G160" i="1" s="1"/>
  <c r="C161" i="1"/>
  <c r="C162" i="1"/>
  <c r="F162" i="1" s="1"/>
  <c r="G162" i="1" s="1"/>
  <c r="C163" i="1"/>
  <c r="F163" i="1" s="1"/>
  <c r="G163" i="1" s="1"/>
  <c r="F48" i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F161" i="1" l="1"/>
  <c r="J163" i="1"/>
  <c r="J162" i="1"/>
  <c r="J160" i="1"/>
  <c r="K160" i="1" s="1"/>
  <c r="O160" i="1" s="1"/>
  <c r="J47" i="1"/>
  <c r="K47" i="1" s="1"/>
  <c r="J48" i="1"/>
  <c r="K48" i="1" s="1"/>
  <c r="G46" i="1"/>
  <c r="K46" i="1" s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61" i="1" l="1"/>
  <c r="J161" i="1"/>
  <c r="B3" i="3"/>
  <c r="K163" i="1"/>
  <c r="O163" i="1" s="1"/>
  <c r="K162" i="1"/>
  <c r="O162" i="1" s="1"/>
  <c r="G125" i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61" i="1" l="1"/>
  <c r="O161" i="1" s="1"/>
  <c r="K137" i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<sst xmlns="http://schemas.openxmlformats.org/spreadsheetml/2006/main" count="2867" uniqueCount="638">
  <si>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</si>
  <si>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</si>
  <si>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</si>
  <si>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</si>
  <si>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</si>
  <si>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</si>
  <si>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</si>
  <si>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</si>
  <si>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</si>
  <si>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</si>
  <si>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</si>
  <si>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</si>
  <si>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</si>
  <si>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</si>
  <si>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</si>
  <si>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</si>
  <si>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</si>
  <si>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</si>
  <si>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</si>
  <si>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</si>
  <si>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</si>
  <si>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</si>
  <si>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</si>
  <si>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</si>
  <si>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</si>
  <si>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</si>
  <si>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</si>
  <si>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</si>
  <si>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</si>
  <si>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</si>
  <si>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</si>
  <si>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</si>
  <si>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</si>
  <si>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</si>
  <si>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</si>
  <si>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</si>
  <si>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</si>
  <si>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</si>
  <si>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</si>
  <si>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</si>
  <si>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</si>
  <si>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</si>
  <si>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</si>
  <si>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</si>
  <si>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</si>
  <si>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</si>
  <si>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</si>
  <si>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</si>
  <si>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</si>
  <si>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</si>
  <si>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</si>
  <si>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</si>
  <si>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</si>
  <si>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</si>
  <si>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</si>
  <si>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</si>
  <si>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</si>
  <si>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</si>
  <si>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</si>
  <si>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</si>
  <si>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</si>
  <si>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</si>
  <si>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</si>
  <si>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</si>
  <si>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</si>
  <si>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</si>
  <si>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</si>
  <si>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</si>
  <si>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</si>
  <si>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</si>
  <si>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</si>
  <si>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</si>
  <si>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</si>
  <si>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</si>
  <si>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</si>
  <si>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</si>
  <si>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</si>
  <si>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</si>
  <si>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</si>
  <si>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</si>
  <si>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</si>
  <si>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</si>
  <si>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</si>
  <si>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</si>
  <si>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</si>
  <si>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</si>
  <si>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</si>
  <si>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</si>
  <si>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</si>
  <si>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</si>
  <si>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</si>
  <si>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</si>
  <si>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</si>
  <si>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</si>
  <si>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</si>
  <si>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</si>
  <si>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</si>
  <si>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</si>
  <si>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</si>
  <si>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</si>
  <si>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</si>
  <si>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</si>
  <si>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</si>
  <si>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</si>
  <si>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</si>
  <si>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</si>
  <si>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</si>
  <si>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</si>
  <si>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</si>
  <si>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</si>
  <si>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</si>
  <si>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</si>
  <si>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</si>
  <si>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</si>
  <si>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</si>
  <si>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</si>
  <si>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</si>
  <si>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</si>
  <si>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</si>
  <si>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</si>
  <si>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</si>
  <si>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</si>
  <si>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</si>
  <si>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</si>
  <si>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</si>
  <si>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</si>
  <si>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</si>
  <si>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</si>
  <si>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</si>
  <si>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</si>
  <si>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</si>
  <si>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</si>
  <si>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</si>
  <si>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</si>
  <si>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</si>
  <si>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</si>
  <si>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</si>
  <si>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</si>
  <si>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</si>
  <si>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</si>
  <si>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</si>
  <si>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</si>
  <si>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</si>
  <si>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</si>
  <si>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</si>
  <si>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</si>
  <si>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</si>
  <si>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</si>
  <si>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</si>
  <si>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</si>
  <si>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</si>
  <si>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</si>
  <si>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</si>
  <si>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</si>
  <si>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</si>
  <si>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</si>
  <si>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</si>
  <si>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</si>
  <si>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</si>
  <si>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</si>
  <si>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</si>
  <si>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</si>
  <si>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</si>
  <si>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</si>
  <si>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</si>
  <si>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</si>
  <si>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</si>
  <si>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</si>
  <si>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</si>
  <si>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</si>
  <si>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</si>
  <si>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</si>
  <si>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</si>
  <si>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</si>
  <si>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</si>
  <si>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</si>
  <si>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</si>
  <si>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</si>
  <si>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</si>
  <si>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</si>
  <si>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</si>
  <si>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</si>
  <si>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</si>
  <si>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</si>
  <si>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</si>
  <si>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</si>
  <si>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</si>
  <si>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</si>
  <si>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</si>
  <si>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</si>
  <si>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</si>
  <si>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</si>
  <si>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</si>
  <si>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</si>
  <si>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</si>
  <si>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</si>
  <si>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</si>
  <si>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</si>
  <si>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</si>
  <si>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</si>
  <si>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</si>
  <si>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</si>
  <si>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</si>
  <si>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</si>
  <si>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</si>
  <si>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</si>
  <si>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</si>
  <si>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</si>
  <si>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</si>
  <si>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</si>
  <si>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</si>
  <si>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</si>
  <si>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</si>
  <si>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</si>
  <si>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</si>
  <si>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</si>
  <si>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</si>
  <si>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</si>
  <si>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</si>
  <si>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</si>
  <si>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</si>
  <si>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</si>
  <si>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</si>
  <si>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</si>
  <si>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</si>
  <si>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</si>
  <si>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</si>
  <si>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</si>
  <si>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</si>
  <si>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</si>
  <si>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</si>
  <si>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</si>
  <si>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</si>
  <si>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</si>
  <si>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</si>
  <si>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</si>
  <si>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</si>
  <si>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</si>
  <si>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</si>
  <si>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</si>
  <si>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</si>
  <si>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</si>
  <si>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</si>
  <si>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</si>
  <si>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</si>
  <si>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</si>
  <si>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</si>
  <si>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</si>
  <si>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</si>
  <si>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</si>
  <si>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</si>
  <si>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</si>
  <si>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</si>
  <si>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</si>
  <si>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</si>
  <si>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</si>
  <si>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</si>
  <si>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</si>
  <si>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</si>
  <si>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</si>
  <si>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</si>
  <si>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</si>
  <si>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</si>
  <si>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</si>
  <si>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</si>
  <si>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</si>
  <si>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</si>
  <si>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</si>
  <si>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</si>
  <si>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</si>
  <si>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</si>
  <si>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</si>
  <si>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</si>
  <si>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</si>
  <si>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</si>
  <si>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</si>
  <si>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</si>
  <si>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</si>
  <si>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</si>
  <si>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</si>
  <si>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</si>
  <si>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</si>
  <si>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</si>
  <si>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</si>
  <si>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</si>
  <si>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</si>
  <si>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</si>
  <si>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</si>
  <si>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</si>
  <si>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</si>
  <si>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</si>
  <si>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</si>
  <si>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</si>
  <si>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</si>
  <si>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</si>
  <si>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</si>
  <si>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</si>
  <si>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</si>
  <si>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</si>
  <si>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</si>
  <si>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</si>
  <si>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</si>
  <si>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</si>
  <si>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</si>
  <si>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</si>
  <si>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</si>
  <si>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</si>
  <si>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</si>
  <si>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</si>
  <si>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</si>
  <si>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</si>
  <si>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</si>
  <si>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</si>
  <si>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</si>
  <si>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</si>
  <si>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</si>
  <si>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</si>
  <si>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</si>
  <si>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</si>
  <si>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</si>
  <si>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</si>
  <si>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</si>
  <si>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</si>
  <si>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</si>
  <si>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</si>
  <si>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</si>
  <si>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</si>
  <si>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</si>
  <si>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</si>
  <si>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</si>
  <si>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</si>
  <si>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</si>
  <si>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</si>
  <si>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</si>
  <si>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</si>
  <si>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</si>
  <si>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</si>
  <si>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</si>
  <si>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</si>
  <si>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</si>
  <si>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</si>
  <si>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</si>
  <si>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</si>
  <si>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</si>
  <si>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</si>
  <si>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</si>
  <si>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</si>
  <si>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</si>
  <si>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</si>
  <si>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</si>
  <si>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</si>
  <si>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</si>
  <si>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</si>
  <si>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</si>
  <si>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</si>
  <si>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</si>
  <si>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</si>
  <si>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</si>
  <si>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</si>
  <si>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</si>
  <si>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</si>
  <si>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</si>
  <si>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</si>
  <si>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</si>
  <si>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</si>
  <si>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</si>
  <si>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</si>
  <si>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</si>
  <si>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</si>
  <si>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</si>
  <si>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</si>
  <si>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</si>
  <si>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</si>
  <si>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</si>
  <si>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</si>
  <si>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</si>
  <si>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</si>
  <si>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</si>
  <si>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</si>
  <si>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</si>
  <si>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</si>
  <si>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</si>
  <si>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</si>
  <si>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</si>
  <si>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</si>
  <si>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</si>
  <si>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</si>
  <si>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</si>
  <si>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</si>
  <si>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</si>
  <si>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</si>
  <si>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</si>
  <si>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</si>
  <si>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</si>
  <si>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</si>
  <si>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</si>
  <si>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</si>
  <si>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</si>
  <si>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</si>
  <si>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</si>
  <si>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</si>
  <si>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</si>
  <si>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</si>
  <si>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</si>
  <si>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</si>
  <si>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</si>
  <si>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</si>
  <si>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</si>
  <si>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</si>
  <si>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</si>
  <si>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</si>
  <si>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</si>
  <si>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</si>
  <si>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</si>
  <si>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</si>
  <si>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</si>
  <si>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</si>
  <si>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</si>
  <si>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</si>
  <si>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</si>
  <si>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</si>
  <si>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</si>
  <si>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</si>
  <si>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</si>
  <si>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</si>
  <si>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</si>
  <si>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</si>
  <si>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</si>
  <si>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</si>
  <si>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</si>
  <si>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</si>
  <si>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</si>
  <si>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</si>
  <si>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</si>
  <si>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</si>
  <si>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</si>
  <si>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</si>
  <si>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</si>
  <si>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</si>
  <si>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</si>
  <si>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</si>
  <si>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</si>
  <si>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</si>
  <si>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</si>
  <si>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</si>
  <si>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</si>
  <si>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</si>
  <si>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</si>
  <si>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</si>
  <si>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</si>
  <si>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</si>
  <si>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</si>
  <si>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</si>
  <si>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</si>
  <si>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</si>
  <si>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</si>
  <si>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</si>
  <si>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</si>
  <si>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</si>
  <si>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</si>
  <si>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</si>
  <si>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</si>
  <si>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</si>
  <si>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</si>
  <si>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</si>
  <si>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</si>
  <si>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</si>
  <si>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</si>
  <si>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</si>
  <si>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</si>
  <si>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</si>
  <si>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</si>
  <si>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</si>
  <si>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</si>
  <si>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</si>
  <si>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</si>
  <si>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</si>
  <si>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</si>
  <si>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</si>
  <si>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</si>
  <si>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</si>
  <si>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</si>
  <si>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</si>
  <si>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</si>
  <si>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</si>
  <si>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</si>
  <si>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</si>
  <si>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</si>
  <si>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</si>
  <si>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</si>
  <si>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</si>
  <si>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</si>
  <si>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</si>
  <si>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</si>
  <si>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</si>
  <si>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</si>
  <si>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</si>
  <si>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</si>
  <si>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</si>
  <si>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</si>
  <si>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</si>
  <si>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</si>
  <si>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</si>
  <si>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</si>
  <si>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</si>
  <si>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</si>
  <si>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</si>
  <si>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</si>
  <si>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</si>
  <si>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</si>
  <si>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</si>
  <si>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</si>
  <si>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</si>
  <si>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</si>
  <si>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</si>
  <si>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</si>
  <si>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</si>
  <si>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</si>
  <si>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</si>
  <si>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</si>
  <si>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</si>
  <si>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</si>
  <si>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</si>
  <si>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</si>
  <si>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</si>
  <si>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</si>
  <si>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</si>
  <si>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</si>
  <si>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</si>
  <si>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</si>
  <si>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</si>
  <si>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</si>
  <si>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</si>
  <si>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</si>
  <si>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</si>
  <si>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</si>
  <si>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</si>
  <si>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</si>
  <si>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</si>
  <si>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</si>
  <si>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</si>
  <si>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</si>
  <si>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</si>
  <si>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</si>
  <si>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</si>
  <si>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</si>
  <si>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</si>
  <si>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</si>
  <si>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</si>
  <si>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</si>
  <si>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</si>
  <si>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</si>
  <si>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</si>
  <si>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</si>
  <si>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</si>
  <si>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</si>
  <si>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</si>
  <si>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</si>
  <si>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</si>
  <si>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</si>
  <si>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</si>
  <si>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</si>
  <si>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</si>
  <si>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</si>
  <si>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</si>
  <si>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</si>
  <si>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</si>
  <si>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</si>
  <si>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</si>
  <si>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</si>
  <si>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</si>
  <si>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</si>
  <si>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</si>
  <si>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</si>
  <si>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</si>
  <si>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</si>
  <si>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</si>
  <si>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</si>
  <si>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</si>
  <si>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</si>
  <si>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</si>
  <si>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</si>
  <si>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</si>
  <si>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</si>
  <si>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</si>
  <si>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</si>
  <si>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</si>
  <si>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</si>
  <si>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</si>
  <si>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</si>
  <si>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</si>
  <si>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</si>
  <si>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</si>
  <si>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</si>
  <si>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</si>
  <si>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</si>
  <si>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</si>
  <si>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</si>
  <si>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</si>
  <si>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</si>
  <si>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</si>
  <si>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</si>
  <si>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</si>
  <si>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</si>
  <si>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</si>
  <si>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</si>
  <si>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</si>
  <si>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</si>
  <si>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</si>
  <si>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</si>
  <si>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</si>
  <si>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</si>
  <si>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</si>
  <si>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</si>
  <si>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</si>
  <si>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</si>
  <si>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</si>
  <si>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</si>
  <si>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</si>
  <si>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</si>
  <si>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</si>
  <si>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</si>
  <si>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</si>
  <si>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BTE Digital Boost Max S 4 95-DWHC</t>
  </si>
  <si>
    <t>Beltone Boost Max S 4 95-DWHC Digital BTE</t>
  </si>
  <si>
    <t>Beltone Boost Max S 17 95-DWHC Digital BTE</t>
  </si>
  <si>
    <t>Beltone Boost Max S 6 95-DWHC Digital BTE</t>
  </si>
  <si>
    <t>Beltone Boost Max S 9 95-DWHC Digital BTE</t>
  </si>
  <si>
    <t>Beltone RIE Digital XC 4 61DRWC</t>
  </si>
  <si>
    <t>Beltone RIE Digital XF 5 60SDRWC</t>
  </si>
  <si>
    <t>Beltone RIE Digital XF 7 60SDRWC</t>
  </si>
  <si>
    <t>Beltone RIE Digital XF 9 60SDRWC</t>
  </si>
  <si>
    <t>Beltone XC 4 61DRWC Digital RIE</t>
  </si>
  <si>
    <t>Beltone XF 5 60SDRWC Digital RIE</t>
  </si>
  <si>
    <t>Beltone XF 7 60SDRWC Digital RIE</t>
  </si>
  <si>
    <t>Beltone XF 9 60SDRWC Digital RIE</t>
  </si>
  <si>
    <t>BCBS Blue365 Member</t>
  </si>
  <si>
    <t>GHB/BCBS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</si>
</sst>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73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0" fillId="0" borderId="0" xfId="0" applyNumberFormat="1" applyFont="1"/>
    <xf numFmtId="43" fontId="8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1" applyFont="1" applyProtection="1"/>
    <xf numFmtId="43" fontId="19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5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9" fillId="5" borderId="0" xfId="1" applyFont="1" applyFill="1" applyBorder="1"/>
    <xf numFmtId="43" fontId="15" fillId="5" borderId="0" xfId="1" applyFont="1" applyFill="1" applyBorder="1"/>
    <xf numFmtId="43" fontId="15" fillId="5" borderId="0" xfId="1" applyFont="1" applyFill="1"/>
    <xf numFmtId="43" fontId="22" fillId="5" borderId="0" xfId="1" applyFont="1" applyFill="1" applyAlignment="1">
      <alignment horizontal="center"/>
    </xf>
    <xf numFmtId="43" fontId="22" fillId="5" borderId="0" xfId="1" applyFont="1" applyFill="1" applyBorder="1" applyAlignment="1">
      <alignment horizontal="center"/>
    </xf>
    <xf numFmtId="49" fontId="14" fillId="0" borderId="0" xfId="0" applyNumberFormat="1" applyFont="1" applyAlignment="1">
      <alignment horizontal="center"/>
    </xf>
    <xf numFmtId="49" fontId="9" fillId="0" borderId="0" xfId="1" applyNumberFormat="1" applyFont="1" applyFill="1" applyBorder="1" applyAlignment="1">
      <alignment horizontal="center"/>
    </xf>
    <xf numFmtId="49" fontId="15" fillId="0" borderId="0" xfId="1" applyNumberFormat="1" applyFont="1" applyAlignment="1">
      <alignment horizontal="center"/>
    </xf>
    <xf numFmtId="49" fontId="15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5" fillId="0" borderId="15" xfId="0" applyFont="1" applyBorder="1"/>
    <xf numFmtId="0" fontId="3" fillId="0" borderId="15" xfId="0" applyFont="1" applyBorder="1"/>
    <xf numFmtId="0" fontId="9" fillId="0" borderId="15" xfId="0" applyFont="1" applyBorder="1"/>
    <xf numFmtId="43" fontId="4" fillId="0" borderId="0" xfId="1" applyFont="1" applyFill="1" applyBorder="1"/>
    <xf numFmtId="43" fontId="9" fillId="0" borderId="13" xfId="1" applyFont="1" applyFill="1" applyBorder="1"/>
    <xf numFmtId="43" fontId="3" fillId="0" borderId="13" xfId="1" applyFont="1" applyFill="1" applyBorder="1"/>
    <xf numFmtId="43" fontId="9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2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43" fontId="15" fillId="0" borderId="14" xfId="1" applyFont="1" applyFill="1" applyBorder="1"/>
    <xf numFmtId="43" fontId="15" fillId="0" borderId="13" xfId="1" applyFont="1" applyBorder="1"/>
    <xf numFmtId="1" fontId="4" fillId="0" borderId="0" xfId="1" applyNumberFormat="1" applyFont="1" applyFill="1" applyBorder="1"/>
    <xf numFmtId="1" fontId="15" fillId="0" borderId="13" xfId="1" applyNumberFormat="1" applyFont="1" applyFill="1" applyBorder="1"/>
    <xf numFmtId="1" fontId="3" fillId="0" borderId="13" xfId="1" applyNumberFormat="1" applyFont="1" applyFill="1" applyBorder="1"/>
    <xf numFmtId="1" fontId="15" fillId="0" borderId="14" xfId="1" applyNumberFormat="1" applyFont="1" applyFill="1" applyBorder="1"/>
    <xf numFmtId="1" fontId="15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5" fillId="0" borderId="13" xfId="1" applyNumberFormat="1" applyFont="1" applyFill="1" applyBorder="1" applyAlignment="1">
      <alignment horizontal="center"/>
    </xf>
    <xf numFmtId="49" fontId="15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5" fillId="0" borderId="13" xfId="1" applyNumberFormat="1" applyFont="1" applyFill="1" applyBorder="1"/>
    <xf numFmtId="49" fontId="15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9" fillId="0" borderId="17" xfId="0" applyFont="1" applyBorder="1"/>
    <xf numFmtId="43" fontId="6" fillId="0" borderId="0" xfId="1" applyFont="1" applyFill="1" applyBorder="1"/>
    <xf numFmtId="43" fontId="15" fillId="0" borderId="14" xfId="1" applyFont="1" applyBorder="1"/>
    <xf numFmtId="49" fontId="15" fillId="0" borderId="14" xfId="1" applyNumberFormat="1" applyFont="1" applyFill="1" applyBorder="1" applyAlignment="1">
      <alignment horizontal="center"/>
    </xf>
    <xf numFmtId="49" fontId="15" fillId="0" borderId="14" xfId="1" applyNumberFormat="1" applyFont="1" applyFill="1" applyBorder="1"/>
    <xf numFmtId="43" fontId="0" fillId="0" borderId="14" xfId="1" applyFont="1" applyFill="1" applyBorder="1"/>
    <xf numFmtId="49" fontId="1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5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19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3" totalsRowShown="0" headerRowDxfId="59" dataDxfId="58">
  <autoFilter ref="A1:V163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64" customWidth="1"/>
    <col min="2" max="2" width="16.5703125" style="64" customWidth="1"/>
    <col min="3" max="3" width="22" style="64" customWidth="1"/>
    <col min="4" max="5" width="19.28515625" style="64" customWidth="1"/>
    <col min="6" max="6" width="38.28515625" style="64" bestFit="1" customWidth="1"/>
    <col min="7" max="7" width="18.140625" style="64" customWidth="1"/>
    <col min="8" max="16384" width="9.140625" style="64"/>
  </cols>
  <sheetData>
    <row r="2" spans="1:8" ht="13.5" thickBot="1"/>
    <row r="3" spans="1:8" ht="13.5" thickBot="1">
      <c r="A3" s="65" t="s">
        <v>585</v>
      </c>
      <c r="B3" s="170" t="s">
        <v>631</v>
      </c>
      <c r="C3" s="171"/>
    </row>
    <row r="4" spans="1:8" ht="13.5" thickBot="1">
      <c r="A4" s="65"/>
    </row>
    <row r="5" spans="1:8" ht="13.5" thickBot="1">
      <c r="A5" s="65" t="s">
        <v>0</v>
      </c>
      <c r="B5" s="170">
        <v>2</v>
      </c>
      <c r="C5" s="171"/>
    </row>
    <row r="6" spans="1:8" ht="13.5" thickBot="1">
      <c r="A6" s="65"/>
      <c r="G6" s="66"/>
      <c r="H6" s="67"/>
    </row>
    <row r="7" spans="1:8" ht="13.5" thickBot="1">
      <c r="A7" s="65" t="s">
        <v>61</v>
      </c>
      <c r="B7" s="170" t="s">
        <v>636</v>
      </c>
      <c r="C7" s="171"/>
    </row>
    <row r="8" spans="1:8">
      <c r="A8" s="65"/>
    </row>
    <row r="10" spans="1:8">
      <c r="A10" s="68" t="s">
        <v>2</v>
      </c>
      <c r="B10" s="69"/>
      <c r="C10" s="69"/>
      <c r="D10" s="69"/>
      <c r="E10" s="69"/>
      <c r="F10" s="69"/>
      <c r="G10" s="68"/>
    </row>
    <row r="11" spans="1:8" ht="13.5" thickBot="1">
      <c r="A11" s="69"/>
      <c r="B11" s="69"/>
      <c r="C11" s="69"/>
      <c r="D11" s="69"/>
      <c r="E11" s="69"/>
      <c r="F11" s="69"/>
      <c r="G11" s="68"/>
    </row>
    <row r="12" spans="1:8">
      <c r="A12" s="70" t="s">
        <v>592</v>
      </c>
      <c r="B12" s="71" t="s">
        <v>593</v>
      </c>
      <c r="C12" s="70" t="s">
        <v>594</v>
      </c>
      <c r="D12" s="71" t="s">
        <v>593</v>
      </c>
      <c r="F12" s="72"/>
    </row>
    <row r="13" spans="1:8" ht="18" customHeight="1">
      <c r="A13" s="73" t="s">
        <v>412</v>
      </c>
      <c r="B13" s="74" cm="1">
        <f t="array" ref="B13">IF($B$3="","",_xlfn.XLOOKUP($B$3&amp;$B$7,haList!A:A&amp;haList!I:I,haList!D:D))</f>
        <v>5579</v>
      </c>
      <c r="C13" s="73" t="s">
        <v>412</v>
      </c>
      <c r="D13" s="75" cm="1">
        <f t="array" ref="D13">IF($B$5=1,"",_xlfn.XLOOKUP($B$3&amp;$B$7,haList!A:A&amp;haList!I:I,haList!D:D))</f>
        <v>5579</v>
      </c>
      <c r="F13" s="56"/>
    </row>
    <row r="14" spans="1:8" ht="18" customHeight="1">
      <c r="A14" s="73" t="s">
        <v>537</v>
      </c>
      <c r="B14" s="60" cm="1">
        <f t="array" ref="B14">_xlfn.XLOOKUP($B$3,haList!$A:$A,-haList!$F:$F)</f>
        <v>162.5</v>
      </c>
      <c r="C14" s="73" t="s">
        <v>537</v>
      </c>
      <c r="D14" s="60" cm="1">
        <f t="array" ref="D14">IF(B5=1,"",_xlfn.XLOOKUP($B$3,haList!$A:$A,-haList!$F:$F))</f>
        <v>162.5</v>
      </c>
      <c r="E14" s="56"/>
      <c r="F14" s="56"/>
    </row>
    <row r="15" spans="1:8" ht="18" customHeight="1">
      <c r="A15" s="73" t="s">
        <v>586</v>
      </c>
      <c r="B15" s="74">
        <f>B13+B14</f>
        <v>5741.5</v>
      </c>
      <c r="C15" s="73" t="s">
        <v>586</v>
      </c>
      <c r="D15" s="76">
        <f>IF(B5=1,"",D13+D14)</f>
        <v>5741.5</v>
      </c>
      <c r="E15" s="56"/>
      <c r="F15" s="56"/>
    </row>
    <row r="16" spans="1:8" ht="18" customHeight="1">
      <c r="A16" s="73" t="s">
        <v>587</v>
      </c>
      <c r="B16" s="74" cm="1">
        <f t="array" ref="B16">_xlfn.XLOOKUP($B$3&amp;$B$7,haList!$A:$A&amp;haList!$I:$I,-haList!$J:$J)</f>
        <v>-3405</v>
      </c>
      <c r="C16" s="73" t="s">
        <v>587</v>
      </c>
      <c r="D16" s="74" cm="1">
        <f t="array" ref="D16">IF(B5=1,"",_xlfn.XLOOKUP($B$3&amp;$B$7,haList!$A:$A&amp;haList!$I:$I,-haList!$J:$J))</f>
        <v>-3405</v>
      </c>
      <c r="E16" s="56"/>
      <c r="F16" s="56"/>
    </row>
    <row r="17" spans="1:9" ht="18" customHeight="1">
      <c r="A17" s="73" t="s">
        <v>588</v>
      </c>
      <c r="B17" s="74">
        <f>B15+B16</f>
        <v>2336.5</v>
      </c>
      <c r="C17" s="73" t="s">
        <v>588</v>
      </c>
      <c r="D17" s="76">
        <f>IF(B5=1,"",D15+D16)</f>
        <v>2336.5</v>
      </c>
      <c r="E17" s="56"/>
      <c r="F17" s="56"/>
    </row>
    <row r="18" spans="1:9" ht="18" customHeight="1">
      <c r="A18" s="73" t="s">
        <v>589</v>
      </c>
      <c r="B18" s="74" cm="1">
        <f t="array" ref="B18">IF($B$7="Open House Special",_xlfn.XLOOKUP($B$3&amp;"Marketing Offer",haList!$A:$A&amp;haList!$M:$M,-haList!$N:$N),0)</f>
        <v>0</v>
      </c>
      <c r="C18" s="73" t="s">
        <v>589</v>
      </c>
      <c r="D18" s="74" cm="1">
        <f t="array" ref="D18">IF(B5=1,"",IF($B$7="Open House Special",_xlfn.XLOOKUP($B$3&amp;"Marketing Offer",haList!$A:$A&amp;haList!$M:$M,-haList!$N:$N),0))</f>
        <v>0</v>
      </c>
      <c r="E18" s="56"/>
      <c r="F18" s="56"/>
    </row>
    <row r="19" spans="1:9" ht="18" customHeight="1" thickBot="1">
      <c r="A19" s="77" t="s">
        <v>590</v>
      </c>
      <c r="B19" s="78">
        <f>B17+B18</f>
        <v>2336.5</v>
      </c>
      <c r="C19" s="77" t="s">
        <v>590</v>
      </c>
      <c r="D19" s="79">
        <f>IF(B5=1,"",D17+D18)</f>
        <v>2336.5</v>
      </c>
      <c r="E19" s="56"/>
      <c r="F19" s="56"/>
    </row>
    <row r="20" spans="1:9" ht="18" customHeight="1">
      <c r="D20" s="80"/>
      <c r="E20" s="56"/>
      <c r="F20" s="56"/>
    </row>
    <row r="21" spans="1:9" ht="18" customHeight="1">
      <c r="D21" s="80"/>
      <c r="E21" s="56"/>
      <c r="F21" s="56"/>
    </row>
    <row r="22" spans="1:9" ht="18" customHeight="1">
      <c r="B22" s="65" t="s">
        <v>591</v>
      </c>
      <c r="C22" s="81">
        <f>B19</f>
        <v>2336.5</v>
      </c>
      <c r="D22" s="80"/>
      <c r="E22" s="56"/>
      <c r="F22" s="56"/>
    </row>
    <row r="23" spans="1:9" ht="18" customHeight="1">
      <c r="B23" s="65" t="str">
        <f>IF($B$5=1,"",B22)</f>
        <v>Hearing Aid 1</v>
      </c>
      <c r="C23" s="82">
        <f>IF(B5=2,D19,0)</f>
        <v>2336.5</v>
      </c>
      <c r="D23" s="80"/>
      <c r="E23" s="56"/>
      <c r="F23" s="56"/>
    </row>
    <row r="24" spans="1:9" ht="18" customHeight="1">
      <c r="B24" s="65" t="str" cm="1">
        <f t="array" ref="B24">IF($B$3="","",_xlfn.XLOOKUP($B$3&amp;$B$7,haList!$A:$A&amp;haList!$I:$I,haList!$R:$R))</f>
        <v>Standard Charger</v>
      </c>
      <c r="C24" s="56" cm="1">
        <f t="array" ref="C24">IF($B$24="","",_xlfn.XLOOKUP($B$3&amp;$B$7,haList!$A:$A&amp;haList!$I:$I,haList!$S:$S))</f>
        <v>325</v>
      </c>
      <c r="E24" s="56"/>
      <c r="F24" s="56"/>
      <c r="I24" s="81"/>
    </row>
    <row r="25" spans="1:9" ht="18" customHeight="1">
      <c r="B25" s="65" t="str" cm="1">
        <f t="array" ref="B25">IF($B$3="","",_xlfn.XLOOKUP($B$3&amp;$B$7,haList!$A:$A&amp;haList!$I:$I,haList!$T:$T))</f>
        <v>SureFit3 or M@RIE Receiver</v>
      </c>
      <c r="C25" s="56" cm="1">
        <f t="array" ref="C25">IF($B$24="","",_xlfn.XLOOKUP($B$3&amp;$B$7,haList!$A:$A&amp;haList!$I:$I,haList!$U:$U))</f>
        <v>0</v>
      </c>
      <c r="D25" s="83"/>
      <c r="F25" s="56"/>
      <c r="I25" s="81"/>
    </row>
    <row r="26" spans="1:9" ht="18" customHeight="1">
      <c r="B26" s="65" t="str">
        <f>IF($B$5=1,"",B25)</f>
        <v>SureFit3 or M@RIE Receiver</v>
      </c>
      <c r="C26" s="56">
        <f>IF(B5=2,C25,0)</f>
        <v>0</v>
      </c>
      <c r="D26" s="83"/>
      <c r="F26" s="56"/>
    </row>
    <row r="27" spans="1:9" ht="18" customHeight="1">
      <c r="B27" s="65" t="s">
        <v>4</v>
      </c>
      <c r="C27" s="81">
        <f>C22+C23+C24+C25+C26</f>
        <v>4998</v>
      </c>
      <c r="D27" s="65"/>
      <c r="E27" s="65"/>
      <c r="F27" s="56"/>
    </row>
    <row r="28" spans="1:9" ht="18" customHeight="1">
      <c r="B28" s="65" t="str" cm="1">
        <f t="array" ref="B28">IF($B$3="","",IF(_xlfn.XLOOKUP($B$3&amp;$B$7,haList!$A:$A&amp;haList!$I:$I,haList!$Q:$Q)=1,"PA Fitting Fee","(do not charge a PA Fitting Fee)"))</f>
        <v>PA Fitting Fee</v>
      </c>
      <c r="C28" s="84" cm="1">
        <f t="array" ref="C28">IF($B$3="","",IF(_xlfn.XLOOKUP($B$3&amp;$B$7,haList!$A:$A&amp;haList!$I:$I,haList!$Q:$Q)=1,400,""))</f>
        <v>400</v>
      </c>
      <c r="D28" s="65"/>
      <c r="E28" s="65"/>
      <c r="G28" s="64" t="str">
        <f>IF(B7="Anthem BCBS","&lt;---Needs to be on a separate invoice.  Private Pay only!","")</f>
        <v/>
      </c>
    </row>
    <row r="29" spans="1:9" ht="18" customHeight="1">
      <c r="B29" s="85" t="s">
        <v>5</v>
      </c>
      <c r="C29" s="86">
        <f>C27+C28</f>
        <v>5398</v>
      </c>
      <c r="D29" s="85"/>
      <c r="E29" s="85"/>
      <c r="F29" s="57"/>
      <c r="H29" s="56"/>
    </row>
    <row r="30" spans="1:9" ht="18" customHeight="1">
      <c r="A30" s="169"/>
      <c r="B30" s="169"/>
      <c r="C30" s="169"/>
      <c r="D30" s="85"/>
      <c r="E30" s="85"/>
      <c r="F30" s="57"/>
    </row>
    <row r="31" spans="1:9" ht="18" customHeight="1"/>
    <row r="32" spans="1:9" ht="18" customHeight="1" thickBot="1">
      <c r="A32" s="67"/>
      <c r="B32" s="87" t="s">
        <v>6</v>
      </c>
    </row>
    <row r="33" spans="1:6" ht="18" customHeight="1" thickBot="1">
      <c r="A33" s="88"/>
      <c r="B33" s="58" t="s">
        <v>65</v>
      </c>
      <c r="C33" s="56">
        <f>C29</f>
        <v>5398</v>
      </c>
    </row>
    <row r="34" spans="1:6" ht="18" customHeight="1" thickBot="1">
      <c r="A34" s="85"/>
      <c r="B34" s="65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6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6"/>
      <c r="F34" s="56"/>
    </row>
    <row r="35" spans="1:6" ht="18" customHeight="1" thickBot="1">
      <c r="A35" s="65"/>
      <c r="B35" s="65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59">
        <f>C33-C34</f>
        <v>4858.2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Normal="100" workbookViewId="0">
      <pane xSplit="1" ySplit="1" topLeftCell="C78" activePane="bottomRight" state="frozen"/>
      <selection pane="topRight" activeCell="B1" sqref="B1"/>
      <selection pane="bottomLeft" activeCell="A2" sqref="A2"/>
      <selection pane="bottomRight" activeCell="I96" sqref="I96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8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579</v>
      </c>
      <c r="D1" s="1" t="s">
        <v>75</v>
      </c>
      <c r="E1" s="1" t="s">
        <v>573</v>
      </c>
      <c r="F1" s="1" t="s">
        <v>574</v>
      </c>
      <c r="G1" s="1" t="s">
        <v>580</v>
      </c>
      <c r="H1" s="1" t="s">
        <v>578</v>
      </c>
      <c r="I1" s="1" t="s">
        <v>575</v>
      </c>
      <c r="J1" s="1" t="s">
        <v>576</v>
      </c>
      <c r="K1" s="1" t="s">
        <v>74</v>
      </c>
      <c r="L1" s="1" t="s">
        <v>584</v>
      </c>
      <c r="M1" s="1" t="s">
        <v>581</v>
      </c>
      <c r="N1" s="1" t="s">
        <v>582</v>
      </c>
      <c r="O1" s="1" t="s">
        <v>583</v>
      </c>
      <c r="P1" s="1" t="s">
        <v>577</v>
      </c>
      <c r="Q1" s="14" t="s">
        <v>76</v>
      </c>
      <c r="R1" s="102" t="s">
        <v>72</v>
      </c>
      <c r="S1" s="1" t="s">
        <v>73</v>
      </c>
      <c r="T1" s="1" t="s">
        <v>77</v>
      </c>
      <c r="U1" s="6" t="s">
        <v>78</v>
      </c>
      <c r="V1" s="159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5" t="s">
        <v>507</v>
      </c>
      <c r="C2" s="51">
        <f>(HearingAids[[#This Row],[haMSRP]]*2)+HearingAids[[#This Row],[chargerPrice]]</f>
        <v>3718</v>
      </c>
      <c r="D2" s="38">
        <v>1859</v>
      </c>
      <c r="E2" s="50" t="s">
        <v>537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7">
        <v>3100</v>
      </c>
      <c r="I2" s="62" t="s">
        <v>596</v>
      </c>
      <c r="J2" s="2">
        <v>0</v>
      </c>
      <c r="K2" s="2">
        <f>HearingAids[[#This Row],[HAListPrice]]-HearingAids[[#This Row],[Discount Amount 2]]</f>
        <v>1550</v>
      </c>
      <c r="L2" s="149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5" t="s">
        <v>506</v>
      </c>
      <c r="C3" s="51">
        <f>(HearingAids[[#This Row],[haMSRP]]*2)+HearingAids[[#This Row],[chargerPrice]]</f>
        <v>4903</v>
      </c>
      <c r="D3" s="38">
        <v>2339</v>
      </c>
      <c r="E3" s="50" t="s">
        <v>537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7">
        <v>3500</v>
      </c>
      <c r="I3" s="62" t="s">
        <v>596</v>
      </c>
      <c r="J3" s="2">
        <v>0</v>
      </c>
      <c r="K3" s="2">
        <f>HearingAids[[#This Row],[HAListPrice]]-HearingAids[[#This Row],[Discount Amount 2]]</f>
        <v>1637.5</v>
      </c>
      <c r="L3" s="149"/>
      <c r="M3" s="2"/>
      <c r="N3" s="2"/>
      <c r="O3" s="2"/>
      <c r="P3" s="39"/>
      <c r="Q3" s="40">
        <v>1</v>
      </c>
      <c r="R3" s="103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5" t="s">
        <v>505</v>
      </c>
      <c r="C4" s="51">
        <f>(HearingAids[[#This Row],[haMSRP]]*2)+HearingAids[[#This Row],[chargerPrice]]</f>
        <v>6383</v>
      </c>
      <c r="D4" s="38">
        <v>3029</v>
      </c>
      <c r="E4" s="50" t="s">
        <v>537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7">
        <v>5050</v>
      </c>
      <c r="I4" s="62" t="s">
        <v>596</v>
      </c>
      <c r="J4" s="2">
        <v>0</v>
      </c>
      <c r="K4" s="2">
        <f>HearingAids[[#This Row],[HAListPrice]]-HearingAids[[#This Row],[Discount Amount 2]]</f>
        <v>2362.5</v>
      </c>
      <c r="L4" s="149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4" t="s">
        <v>502</v>
      </c>
      <c r="C5" s="53">
        <f>(HearingAids[[#This Row],[haMSRP]]*2)+HearingAids[[#This Row],[chargerPrice]]</f>
        <v>11963</v>
      </c>
      <c r="D5" s="38">
        <v>5819</v>
      </c>
      <c r="E5" s="50" t="s">
        <v>537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8">
        <v>9450</v>
      </c>
      <c r="I5" s="62" t="s">
        <v>596</v>
      </c>
      <c r="J5" s="2">
        <v>0</v>
      </c>
      <c r="K5" s="2">
        <f>HearingAids[[#This Row],[HAListPrice]]-HearingAids[[#This Row],[Discount Amount 2]]</f>
        <v>4562.5</v>
      </c>
      <c r="L5" s="149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09" t="s">
        <v>504</v>
      </c>
      <c r="C6" s="53">
        <f>(HearingAids[[#This Row],[haMSRP]]*2)+HearingAids[[#This Row],[chargerPrice]]</f>
        <v>7703</v>
      </c>
      <c r="D6" s="38">
        <v>3689</v>
      </c>
      <c r="E6" s="50" t="s">
        <v>537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8">
        <v>7050</v>
      </c>
      <c r="I6" s="62" t="s">
        <v>596</v>
      </c>
      <c r="J6" s="2">
        <v>0</v>
      </c>
      <c r="K6" s="2">
        <f>HearingAids[[#This Row],[HAListPrice]]-HearingAids[[#This Row],[Discount Amount 2]]</f>
        <v>3362.5</v>
      </c>
      <c r="L6" s="149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09" t="s">
        <v>503</v>
      </c>
      <c r="C7" s="53">
        <f>(HearingAids[[#This Row],[haMSRP]]*2)+HearingAids[[#This Row],[chargerPrice]]</f>
        <v>9683</v>
      </c>
      <c r="D7" s="38">
        <v>4679</v>
      </c>
      <c r="E7" s="50" t="s">
        <v>537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8">
        <v>8350</v>
      </c>
      <c r="I7" s="62" t="s">
        <v>596</v>
      </c>
      <c r="J7" s="2">
        <v>0</v>
      </c>
      <c r="K7" s="2">
        <f>HearingAids[[#This Row],[HAListPrice]]-HearingAids[[#This Row],[Discount Amount 2]]</f>
        <v>4012.5</v>
      </c>
      <c r="L7" s="149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4">
        <f>(HearingAids[[#This Row],[haMSRP]]*2)+HearingAids[[#This Row],[chargerPrice]]</f>
        <v>3920</v>
      </c>
      <c r="D8" s="8">
        <v>1960</v>
      </c>
      <c r="E8" s="50" t="s">
        <v>537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7">
        <v>3100</v>
      </c>
      <c r="I8" s="62" t="s">
        <v>596</v>
      </c>
      <c r="J8" s="2">
        <v>0</v>
      </c>
      <c r="K8" s="2">
        <f>HearingAids[[#This Row],[HAListPrice]]-HearingAids[[#This Row],[Discount Amount 2]]</f>
        <v>1550</v>
      </c>
      <c r="L8" s="149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0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5" t="s">
        <v>508</v>
      </c>
      <c r="C9" s="51">
        <f>(HearingAids[[#This Row],[haMSRP]]*2)+HearingAids[[#This Row],[chargerPrice]]</f>
        <v>3920</v>
      </c>
      <c r="D9" s="8">
        <v>1960</v>
      </c>
      <c r="E9" s="50" t="s">
        <v>537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7">
        <v>3100</v>
      </c>
      <c r="I9" s="62" t="s">
        <v>596</v>
      </c>
      <c r="J9" s="2">
        <v>0</v>
      </c>
      <c r="K9" s="2">
        <f>HearingAids[[#This Row],[HAListPrice]]-HearingAids[[#This Row],[Discount Amount 2]]</f>
        <v>1550</v>
      </c>
      <c r="L9" s="149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0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5" t="s">
        <v>520</v>
      </c>
      <c r="C10" s="51">
        <f>(HearingAids[[#This Row],[haMSRP]]*2)+HearingAids[[#This Row],[chargerPrice]]</f>
        <v>3920</v>
      </c>
      <c r="D10" s="8">
        <v>1960</v>
      </c>
      <c r="E10" s="50" t="s">
        <v>537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7">
        <v>3100</v>
      </c>
      <c r="I10" s="62" t="s">
        <v>596</v>
      </c>
      <c r="J10" s="2">
        <v>0</v>
      </c>
      <c r="K10" s="2">
        <f>HearingAids[[#This Row],[HAListPrice]]-HearingAids[[#This Row],[Discount Amount 2]]</f>
        <v>1550</v>
      </c>
      <c r="L10" s="149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5" t="s">
        <v>521</v>
      </c>
      <c r="C11" s="51">
        <f>(HearingAids[[#This Row],[haMSRP]]*2)+HearingAids[[#This Row],[chargerPrice]]</f>
        <v>3920</v>
      </c>
      <c r="D11" s="8">
        <v>1960</v>
      </c>
      <c r="E11" s="50" t="s">
        <v>537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7">
        <v>3100</v>
      </c>
      <c r="I11" s="62" t="s">
        <v>596</v>
      </c>
      <c r="J11" s="2">
        <v>0</v>
      </c>
      <c r="K11" s="2">
        <f>HearingAids[[#This Row],[HAListPrice]]-HearingAids[[#This Row],[Discount Amount 2]]</f>
        <v>1550</v>
      </c>
      <c r="L11" s="149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5" t="s">
        <v>522</v>
      </c>
      <c r="C12" s="51">
        <f>(HearingAids[[#This Row],[haMSRP]]*2)+HearingAids[[#This Row],[chargerPrice]]</f>
        <v>3920</v>
      </c>
      <c r="D12" s="8">
        <v>1960</v>
      </c>
      <c r="E12" s="50" t="s">
        <v>537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7">
        <v>3100</v>
      </c>
      <c r="I12" s="62" t="s">
        <v>596</v>
      </c>
      <c r="J12" s="2">
        <v>0</v>
      </c>
      <c r="K12" s="2">
        <f>HearingAids[[#This Row],[HAListPrice]]-HearingAids[[#This Row],[Discount Amount 2]]</f>
        <v>1550</v>
      </c>
      <c r="L12" s="149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0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5" t="s">
        <v>523</v>
      </c>
      <c r="C13" s="51">
        <f>(HearingAids[[#This Row],[haMSRP]]*2)+HearingAids[[#This Row],[chargerPrice]]</f>
        <v>3920</v>
      </c>
      <c r="D13" s="8">
        <v>1960</v>
      </c>
      <c r="E13" s="50" t="s">
        <v>537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7">
        <v>3100</v>
      </c>
      <c r="I13" s="62" t="s">
        <v>596</v>
      </c>
      <c r="J13" s="2">
        <v>0</v>
      </c>
      <c r="K13" s="2">
        <f>HearingAids[[#This Row],[HAListPrice]]-HearingAids[[#This Row],[Discount Amount 2]]</f>
        <v>1550</v>
      </c>
      <c r="L13" s="149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0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5" t="s">
        <v>514</v>
      </c>
      <c r="C14" s="51">
        <f>(HearingAids[[#This Row],[haMSRP]]*2)+HearingAids[[#This Row],[chargerPrice]]</f>
        <v>3920</v>
      </c>
      <c r="D14" s="8">
        <v>1960</v>
      </c>
      <c r="E14" s="50" t="s">
        <v>537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7">
        <v>3100</v>
      </c>
      <c r="I14" s="62" t="s">
        <v>596</v>
      </c>
      <c r="J14" s="2">
        <v>0</v>
      </c>
      <c r="K14" s="2">
        <f>HearingAids[[#This Row],[HAListPrice]]-HearingAids[[#This Row],[Discount Amount 2]]</f>
        <v>1550</v>
      </c>
      <c r="L14" s="149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5" t="s">
        <v>517</v>
      </c>
      <c r="C15" s="51">
        <f>(HearingAids[[#This Row],[haMSRP]]*2)+HearingAids[[#This Row],[chargerPrice]]</f>
        <v>3920</v>
      </c>
      <c r="D15" s="8">
        <v>1960</v>
      </c>
      <c r="E15" s="50" t="s">
        <v>537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7">
        <v>3100</v>
      </c>
      <c r="I15" s="62" t="s">
        <v>596</v>
      </c>
      <c r="J15" s="2">
        <v>0</v>
      </c>
      <c r="K15" s="2">
        <f>HearingAids[[#This Row],[HAListPrice]]-HearingAids[[#This Row],[Discount Amount 2]]</f>
        <v>1550</v>
      </c>
      <c r="L15" s="149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4">
        <f>(HearingAids[[#This Row],[haMSRP]]*2)+HearingAids[[#This Row],[chargerPrice]]</f>
        <v>4690</v>
      </c>
      <c r="D16" s="8">
        <v>2345</v>
      </c>
      <c r="E16" s="50" t="s">
        <v>537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7">
        <v>3500</v>
      </c>
      <c r="I16" s="62" t="s">
        <v>596</v>
      </c>
      <c r="J16" s="2">
        <v>0</v>
      </c>
      <c r="K16" s="2">
        <f>HearingAids[[#This Row],[HAListPrice]]-HearingAids[[#This Row],[Discount Amount 2]]</f>
        <v>1750</v>
      </c>
      <c r="L16" s="149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0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4">
        <f>(HearingAids[[#This Row],[haMSRP]]*2)+HearingAids[[#This Row],[chargerPrice]]</f>
        <v>4915</v>
      </c>
      <c r="D17" s="22">
        <v>2345</v>
      </c>
      <c r="E17" s="50" t="s">
        <v>537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7">
        <v>3500</v>
      </c>
      <c r="I17" s="62" t="s">
        <v>596</v>
      </c>
      <c r="J17" s="2">
        <v>0</v>
      </c>
      <c r="K17" s="2">
        <f>HearingAids[[#This Row],[HAListPrice]]-HearingAids[[#This Row],[Discount Amount 2]]</f>
        <v>1637.5</v>
      </c>
      <c r="L17" s="149"/>
      <c r="M17" s="2"/>
      <c r="N17" s="2"/>
      <c r="O17" s="2"/>
      <c r="P17" s="39"/>
      <c r="Q17" s="23">
        <v>1</v>
      </c>
      <c r="R17" s="104" t="s">
        <v>9</v>
      </c>
      <c r="S17" s="22">
        <v>225</v>
      </c>
      <c r="T17" s="24" t="s">
        <v>26</v>
      </c>
      <c r="U17" s="25">
        <v>0</v>
      </c>
      <c r="V17" s="161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5" t="s">
        <v>509</v>
      </c>
      <c r="C18" s="51">
        <f>(HearingAids[[#This Row],[haMSRP]]*2)+HearingAids[[#This Row],[chargerPrice]]</f>
        <v>4690</v>
      </c>
      <c r="D18" s="8">
        <v>2345</v>
      </c>
      <c r="E18" s="50" t="s">
        <v>537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7">
        <v>3500</v>
      </c>
      <c r="I18" s="62" t="s">
        <v>596</v>
      </c>
      <c r="J18" s="2">
        <v>0</v>
      </c>
      <c r="K18" s="2">
        <f>HearingAids[[#This Row],[HAListPrice]]-HearingAids[[#This Row],[Discount Amount 2]]</f>
        <v>1750</v>
      </c>
      <c r="L18" s="149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0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5" t="s">
        <v>524</v>
      </c>
      <c r="C19" s="51">
        <f>(HearingAids[[#This Row],[haMSRP]]*2)+HearingAids[[#This Row],[chargerPrice]]</f>
        <v>4690</v>
      </c>
      <c r="D19" s="8">
        <v>2345</v>
      </c>
      <c r="E19" s="50" t="s">
        <v>537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7">
        <v>3500</v>
      </c>
      <c r="I19" s="62" t="s">
        <v>596</v>
      </c>
      <c r="J19" s="2">
        <v>0</v>
      </c>
      <c r="K19" s="2">
        <f>HearingAids[[#This Row],[HAListPrice]]-HearingAids[[#This Row],[Discount Amount 2]]</f>
        <v>1750</v>
      </c>
      <c r="L19" s="149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5" t="s">
        <v>525</v>
      </c>
      <c r="C20" s="51">
        <f>(HearingAids[[#This Row],[haMSRP]]*2)+HearingAids[[#This Row],[chargerPrice]]</f>
        <v>4690</v>
      </c>
      <c r="D20" s="8">
        <v>2345</v>
      </c>
      <c r="E20" s="50" t="s">
        <v>537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7">
        <v>3500</v>
      </c>
      <c r="I20" s="62" t="s">
        <v>596</v>
      </c>
      <c r="J20" s="2">
        <v>0</v>
      </c>
      <c r="K20" s="2">
        <f>HearingAids[[#This Row],[HAListPrice]]-HearingAids[[#This Row],[Discount Amount 2]]</f>
        <v>1750</v>
      </c>
      <c r="L20" s="149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5" t="s">
        <v>526</v>
      </c>
      <c r="C21" s="51">
        <f>(HearingAids[[#This Row],[haMSRP]]*2)+HearingAids[[#This Row],[chargerPrice]]</f>
        <v>4690</v>
      </c>
      <c r="D21" s="8">
        <v>2345</v>
      </c>
      <c r="E21" s="50" t="s">
        <v>537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7">
        <v>3500</v>
      </c>
      <c r="I21" s="62" t="s">
        <v>596</v>
      </c>
      <c r="J21" s="2">
        <v>0</v>
      </c>
      <c r="K21" s="2">
        <f>HearingAids[[#This Row],[HAListPrice]]-HearingAids[[#This Row],[Discount Amount 2]]</f>
        <v>1750</v>
      </c>
      <c r="L21" s="149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0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5" t="s">
        <v>527</v>
      </c>
      <c r="C22" s="51">
        <f>(HearingAids[[#This Row],[haMSRP]]*2)+HearingAids[[#This Row],[chargerPrice]]</f>
        <v>4690</v>
      </c>
      <c r="D22" s="8">
        <v>2345</v>
      </c>
      <c r="E22" s="50" t="s">
        <v>537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7">
        <v>3500</v>
      </c>
      <c r="I22" s="62" t="s">
        <v>596</v>
      </c>
      <c r="J22" s="2">
        <v>0</v>
      </c>
      <c r="K22" s="2">
        <f>HearingAids[[#This Row],[HAListPrice]]-HearingAids[[#This Row],[Discount Amount 2]]</f>
        <v>1750</v>
      </c>
      <c r="L22" s="149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0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5" t="s">
        <v>511</v>
      </c>
      <c r="C23" s="51">
        <f>(HearingAids[[#This Row],[haMSRP]]*2)+HearingAids[[#This Row],[chargerPrice]]</f>
        <v>4690</v>
      </c>
      <c r="D23" s="8">
        <v>2345</v>
      </c>
      <c r="E23" s="50" t="s">
        <v>537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7">
        <v>3500</v>
      </c>
      <c r="I23" s="62" t="s">
        <v>596</v>
      </c>
      <c r="J23" s="2">
        <v>0</v>
      </c>
      <c r="K23" s="2">
        <f>HearingAids[[#This Row],[HAListPrice]]-HearingAids[[#This Row],[Discount Amount 2]]</f>
        <v>1750</v>
      </c>
      <c r="L23" s="149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5" t="s">
        <v>515</v>
      </c>
      <c r="C24" s="51">
        <f>(HearingAids[[#This Row],[haMSRP]]*2)+HearingAids[[#This Row],[chargerPrice]]</f>
        <v>4690</v>
      </c>
      <c r="D24" s="8">
        <v>2345</v>
      </c>
      <c r="E24" s="50" t="s">
        <v>537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7">
        <v>3500</v>
      </c>
      <c r="I24" s="62" t="s">
        <v>596</v>
      </c>
      <c r="J24" s="2">
        <v>0</v>
      </c>
      <c r="K24" s="2">
        <f>HearingAids[[#This Row],[HAListPrice]]-HearingAids[[#This Row],[Discount Amount 2]]</f>
        <v>1750</v>
      </c>
      <c r="L24" s="149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5" t="s">
        <v>518</v>
      </c>
      <c r="C25" s="51">
        <f>(HearingAids[[#This Row],[haMSRP]]*2)+HearingAids[[#This Row],[chargerPrice]]</f>
        <v>4690</v>
      </c>
      <c r="D25" s="8">
        <v>2345</v>
      </c>
      <c r="E25" s="50" t="s">
        <v>537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7">
        <v>3500</v>
      </c>
      <c r="I25" s="62" t="s">
        <v>596</v>
      </c>
      <c r="J25" s="2">
        <v>0</v>
      </c>
      <c r="K25" s="2">
        <f>HearingAids[[#This Row],[HAListPrice]]-HearingAids[[#This Row],[Discount Amount 2]]</f>
        <v>1750</v>
      </c>
      <c r="L25" s="149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4">
        <f>(HearingAids[[#This Row],[haMSRP]]*2)+HearingAids[[#This Row],[chargerPrice]]</f>
        <v>6283</v>
      </c>
      <c r="D26" s="38">
        <v>3029</v>
      </c>
      <c r="E26" s="50" t="s">
        <v>537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7">
        <v>5050</v>
      </c>
      <c r="I26" s="62" t="s">
        <v>596</v>
      </c>
      <c r="J26" s="2">
        <v>0</v>
      </c>
      <c r="K26" s="2">
        <f>HearingAids[[#This Row],[HAListPrice]]-HearingAids[[#This Row],[Discount Amount 2]]</f>
        <v>2412.5</v>
      </c>
      <c r="L26" s="149"/>
      <c r="M26" s="2"/>
      <c r="N26" s="2"/>
      <c r="O26" s="2"/>
      <c r="P26" s="39"/>
      <c r="Q26" s="15">
        <v>1</v>
      </c>
      <c r="R26" s="105" t="s">
        <v>9</v>
      </c>
      <c r="S26" s="22">
        <v>225</v>
      </c>
      <c r="T26" s="10" t="s">
        <v>26</v>
      </c>
      <c r="U26" s="7">
        <v>0</v>
      </c>
      <c r="V26" s="160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5" t="s">
        <v>510</v>
      </c>
      <c r="C27" s="51">
        <f>(HearingAids[[#This Row],[haMSRP]]*2)+HearingAids[[#This Row],[chargerPrice]]</f>
        <v>6058</v>
      </c>
      <c r="D27" s="38">
        <v>3029</v>
      </c>
      <c r="E27" s="50" t="s">
        <v>537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7">
        <v>5050</v>
      </c>
      <c r="I27" s="62" t="s">
        <v>596</v>
      </c>
      <c r="J27" s="2">
        <v>0</v>
      </c>
      <c r="K27" s="2">
        <f>HearingAids[[#This Row],[HAListPrice]]-HearingAids[[#This Row],[Discount Amount 2]]</f>
        <v>2525</v>
      </c>
      <c r="L27" s="149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0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5" t="s">
        <v>528</v>
      </c>
      <c r="C28" s="51">
        <f>(HearingAids[[#This Row],[haMSRP]]*2)+HearingAids[[#This Row],[chargerPrice]]</f>
        <v>6058</v>
      </c>
      <c r="D28" s="38">
        <v>3029</v>
      </c>
      <c r="E28" s="50" t="s">
        <v>537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7">
        <v>5050</v>
      </c>
      <c r="I28" s="62" t="s">
        <v>596</v>
      </c>
      <c r="J28" s="2">
        <v>0</v>
      </c>
      <c r="K28" s="2">
        <f>HearingAids[[#This Row],[HAListPrice]]-HearingAids[[#This Row],[Discount Amount 2]]</f>
        <v>2525</v>
      </c>
      <c r="L28" s="149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5" t="s">
        <v>529</v>
      </c>
      <c r="C29" s="51">
        <f>(HearingAids[[#This Row],[haMSRP]]*2)+HearingAids[[#This Row],[chargerPrice]]</f>
        <v>6058</v>
      </c>
      <c r="D29" s="38">
        <v>3029</v>
      </c>
      <c r="E29" s="50" t="s">
        <v>537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7">
        <v>5050</v>
      </c>
      <c r="I29" s="62" t="s">
        <v>596</v>
      </c>
      <c r="J29" s="2">
        <v>0</v>
      </c>
      <c r="K29" s="2">
        <f>HearingAids[[#This Row],[HAListPrice]]-HearingAids[[#This Row],[Discount Amount 2]]</f>
        <v>2525</v>
      </c>
      <c r="L29" s="149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5" t="s">
        <v>530</v>
      </c>
      <c r="C30" s="51">
        <f>(HearingAids[[#This Row],[haMSRP]]*2)+HearingAids[[#This Row],[chargerPrice]]</f>
        <v>6058</v>
      </c>
      <c r="D30" s="38">
        <v>3029</v>
      </c>
      <c r="E30" s="50" t="s">
        <v>537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7">
        <v>5050</v>
      </c>
      <c r="I30" s="62" t="s">
        <v>596</v>
      </c>
      <c r="J30" s="2">
        <v>0</v>
      </c>
      <c r="K30" s="2">
        <f>HearingAids[[#This Row],[HAListPrice]]-HearingAids[[#This Row],[Discount Amount 2]]</f>
        <v>2525</v>
      </c>
      <c r="L30" s="149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0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5" t="s">
        <v>536</v>
      </c>
      <c r="C31" s="51">
        <f>(HearingAids[[#This Row],[haMSRP]]*2)+HearingAids[[#This Row],[chargerPrice]]</f>
        <v>6058</v>
      </c>
      <c r="D31" s="38">
        <v>3029</v>
      </c>
      <c r="E31" s="50" t="s">
        <v>537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7">
        <v>5050</v>
      </c>
      <c r="I31" s="62" t="s">
        <v>596</v>
      </c>
      <c r="J31" s="2">
        <v>0</v>
      </c>
      <c r="K31" s="2">
        <f>HearingAids[[#This Row],[HAListPrice]]-HearingAids[[#This Row],[Discount Amount 2]]</f>
        <v>2525</v>
      </c>
      <c r="L31" s="149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0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5" t="s">
        <v>512</v>
      </c>
      <c r="C32" s="51">
        <f>(HearingAids[[#This Row],[haMSRP]]*2)+HearingAids[[#This Row],[chargerPrice]]</f>
        <v>6058</v>
      </c>
      <c r="D32" s="38">
        <v>3029</v>
      </c>
      <c r="E32" s="50" t="s">
        <v>537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7">
        <v>5050</v>
      </c>
      <c r="I32" s="62" t="s">
        <v>596</v>
      </c>
      <c r="J32" s="2">
        <v>0</v>
      </c>
      <c r="K32" s="2">
        <f>HearingAids[[#This Row],[HAListPrice]]-HearingAids[[#This Row],[Discount Amount 2]]</f>
        <v>2525</v>
      </c>
      <c r="L32" s="149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5" t="s">
        <v>513</v>
      </c>
      <c r="C33" s="51">
        <f>(HearingAids[[#This Row],[haMSRP]]*2)+HearingAids[[#This Row],[chargerPrice]]</f>
        <v>6058</v>
      </c>
      <c r="D33" s="38">
        <v>3029</v>
      </c>
      <c r="E33" s="50" t="s">
        <v>537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7">
        <v>5050</v>
      </c>
      <c r="I33" s="62" t="s">
        <v>596</v>
      </c>
      <c r="J33" s="2">
        <v>0</v>
      </c>
      <c r="K33" s="2">
        <f>HearingAids[[#This Row],[HAListPrice]]-HearingAids[[#This Row],[Discount Amount 2]]</f>
        <v>2525</v>
      </c>
      <c r="L33" s="149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5" t="s">
        <v>516</v>
      </c>
      <c r="C34" s="51">
        <f>(HearingAids[[#This Row],[haMSRP]]*2)+HearingAids[[#This Row],[chargerPrice]]</f>
        <v>6058</v>
      </c>
      <c r="D34" s="38">
        <v>3029</v>
      </c>
      <c r="E34" s="50" t="s">
        <v>537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7">
        <v>5050</v>
      </c>
      <c r="I34" s="62" t="s">
        <v>596</v>
      </c>
      <c r="J34" s="2">
        <v>0</v>
      </c>
      <c r="K34" s="2">
        <f>HearingAids[[#This Row],[HAListPrice]]-HearingAids[[#This Row],[Discount Amount 2]]</f>
        <v>2525</v>
      </c>
      <c r="L34" s="149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41" t="s">
        <v>623</v>
      </c>
      <c r="B35" s="141" t="s">
        <v>624</v>
      </c>
      <c r="C35" s="54">
        <f>(HearingAids[[#This Row],[haMSRP]]*2)+HearingAids[[#This Row],[chargerPrice]]</f>
        <v>6283</v>
      </c>
      <c r="D35" s="114">
        <v>3029</v>
      </c>
      <c r="E35" s="114" t="s">
        <v>537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8">
        <v>5050</v>
      </c>
      <c r="I35" s="120" t="s">
        <v>596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49">
        <v>5050</v>
      </c>
      <c r="M35" s="114"/>
      <c r="N35" s="2"/>
      <c r="O35" s="114"/>
      <c r="P35" s="114"/>
      <c r="Q35" s="127">
        <v>1</v>
      </c>
      <c r="R35" s="106" t="s">
        <v>9</v>
      </c>
      <c r="S35" s="22">
        <v>225</v>
      </c>
      <c r="T35" s="135"/>
      <c r="U35" s="135"/>
      <c r="V35" s="135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5" t="s">
        <v>506</v>
      </c>
      <c r="C36" s="51">
        <f>(HearingAids[[#This Row],[haMSRP]]*2)+HearingAids[[#This Row],[chargerPrice]]</f>
        <v>4903</v>
      </c>
      <c r="D36" s="38">
        <v>2339</v>
      </c>
      <c r="E36" s="50" t="s">
        <v>537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99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0">
        <v>3390</v>
      </c>
      <c r="M36" s="2"/>
      <c r="N36" s="2"/>
      <c r="O36" s="2"/>
      <c r="P36" s="22"/>
      <c r="Q36" s="23">
        <v>1</v>
      </c>
      <c r="R36" s="104" t="s">
        <v>9</v>
      </c>
      <c r="S36" s="22">
        <v>225</v>
      </c>
      <c r="T36" s="24" t="s">
        <v>26</v>
      </c>
      <c r="U36" s="25">
        <v>0</v>
      </c>
      <c r="V36" s="161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2">
        <f>(HearingAids[[#This Row],[haMSRP]]*2)+HearingAids[[#This Row],[chargerPrice]]</f>
        <v>11963</v>
      </c>
      <c r="D37" s="38">
        <v>5819</v>
      </c>
      <c r="E37" s="50" t="s">
        <v>537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8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49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0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2">
        <f>(HearingAids[[#This Row],[haMSRP]]*2)+HearingAids[[#This Row],[chargerPrice]]</f>
        <v>7703</v>
      </c>
      <c r="D38" s="38">
        <v>3689</v>
      </c>
      <c r="E38" s="50" t="s">
        <v>537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8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49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0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2">
        <f>(HearingAids[[#This Row],[haMSRP]]*2)+HearingAids[[#This Row],[chargerPrice]]</f>
        <v>9683</v>
      </c>
      <c r="D39" s="38">
        <v>4679</v>
      </c>
      <c r="E39" s="50" t="s">
        <v>537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8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49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0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4" t="s">
        <v>502</v>
      </c>
      <c r="C40" s="53">
        <f>(HearingAids[[#This Row],[haMSRP]]*2)+HearingAids[[#This Row],[chargerPrice]]</f>
        <v>11963</v>
      </c>
      <c r="D40" s="38">
        <v>5819</v>
      </c>
      <c r="E40" s="50" t="s">
        <v>537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8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49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0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4" t="s">
        <v>504</v>
      </c>
      <c r="C41" s="53">
        <f>(HearingAids[[#This Row],[haMSRP]]*2)+HearingAids[[#This Row],[chargerPrice]]</f>
        <v>7703</v>
      </c>
      <c r="D41" s="38">
        <v>3689</v>
      </c>
      <c r="E41" s="50" t="s">
        <v>537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8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49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0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4" t="s">
        <v>503</v>
      </c>
      <c r="C42" s="53">
        <f>(HearingAids[[#This Row],[haMSRP]]*2)+HearingAids[[#This Row],[chargerPrice]]</f>
        <v>9683</v>
      </c>
      <c r="D42" s="38">
        <v>4679</v>
      </c>
      <c r="E42" s="50" t="s">
        <v>537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8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49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0" t="s">
        <v>11</v>
      </c>
      <c r="Y42" s="25"/>
      <c r="Z42" s="25"/>
      <c r="AA42" s="25"/>
      <c r="AB42"/>
      <c r="AC42"/>
      <c r="AD42"/>
      <c r="AE42"/>
    </row>
    <row r="43" spans="1:31" ht="12.75">
      <c r="A43" s="110" t="s">
        <v>620</v>
      </c>
      <c r="B43" s="141" t="s">
        <v>625</v>
      </c>
      <c r="C43" s="54">
        <f>(HearingAids[[#This Row],[haMSRP]]*2)+HearingAids[[#This Row],[chargerPrice]]</f>
        <v>11863</v>
      </c>
      <c r="D43" s="114">
        <v>5819</v>
      </c>
      <c r="E43" s="114" t="s">
        <v>537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8">
        <v>9450</v>
      </c>
      <c r="I43" s="120" t="s">
        <v>28</v>
      </c>
      <c r="J43" s="2"/>
      <c r="K43" s="2">
        <f>HearingAids[[#This Row],[HAListPrice]]-HearingAids[[#This Row],[Discount Amount 2]]</f>
        <v>4612.5</v>
      </c>
      <c r="L43" s="149">
        <v>9450</v>
      </c>
      <c r="M43" s="114"/>
      <c r="N43" s="2"/>
      <c r="O43" s="114"/>
      <c r="P43" s="114"/>
      <c r="Q43" s="127">
        <v>1</v>
      </c>
      <c r="R43" s="106" t="s">
        <v>9</v>
      </c>
      <c r="S43" s="22">
        <v>225</v>
      </c>
      <c r="T43" s="135" t="s">
        <v>14</v>
      </c>
      <c r="U43" s="135">
        <v>0</v>
      </c>
      <c r="V43" s="135" t="s">
        <v>11</v>
      </c>
      <c r="Y43" s="25"/>
      <c r="Z43" s="25"/>
      <c r="AA43" s="25"/>
      <c r="AB43"/>
      <c r="AC43"/>
      <c r="AD43"/>
      <c r="AE43"/>
    </row>
    <row r="44" spans="1:31" ht="12.75">
      <c r="A44" s="110" t="s">
        <v>621</v>
      </c>
      <c r="B44" s="141" t="s">
        <v>626</v>
      </c>
      <c r="C44" s="54">
        <f>(HearingAids[[#This Row],[haMSRP]]*2)+HearingAids[[#This Row],[chargerPrice]]</f>
        <v>7603</v>
      </c>
      <c r="D44" s="114">
        <v>3689</v>
      </c>
      <c r="E44" s="114" t="s">
        <v>537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8">
        <v>7050</v>
      </c>
      <c r="I44" s="120" t="s">
        <v>28</v>
      </c>
      <c r="J44" s="2"/>
      <c r="K44" s="2">
        <f>HearingAids[[#This Row],[HAListPrice]]-HearingAids[[#This Row],[Discount Amount 2]]</f>
        <v>3412.5</v>
      </c>
      <c r="L44" s="149">
        <v>7050</v>
      </c>
      <c r="M44" s="114"/>
      <c r="N44" s="2"/>
      <c r="O44" s="114"/>
      <c r="P44" s="114"/>
      <c r="Q44" s="127">
        <v>1</v>
      </c>
      <c r="R44" s="106" t="s">
        <v>9</v>
      </c>
      <c r="S44" s="22">
        <v>225</v>
      </c>
      <c r="T44" s="135" t="s">
        <v>14</v>
      </c>
      <c r="U44" s="135">
        <v>0</v>
      </c>
      <c r="V44" s="135" t="s">
        <v>11</v>
      </c>
      <c r="Y44" s="25"/>
      <c r="Z44" s="25"/>
      <c r="AA44" s="25"/>
      <c r="AB44"/>
      <c r="AC44"/>
      <c r="AD44"/>
      <c r="AE44"/>
    </row>
    <row r="45" spans="1:31" ht="12.75">
      <c r="A45" s="110" t="s">
        <v>622</v>
      </c>
      <c r="B45" s="141" t="s">
        <v>627</v>
      </c>
      <c r="C45" s="54">
        <f>(HearingAids[[#This Row],[haMSRP]]*2)+HearingAids[[#This Row],[chargerPrice]]</f>
        <v>9583</v>
      </c>
      <c r="D45" s="114">
        <v>4679</v>
      </c>
      <c r="E45" s="114" t="s">
        <v>537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8">
        <v>8350</v>
      </c>
      <c r="I45" s="120" t="s">
        <v>28</v>
      </c>
      <c r="J45" s="2"/>
      <c r="K45" s="2">
        <f>HearingAids[[#This Row],[HAListPrice]]-HearingAids[[#This Row],[Discount Amount 2]]</f>
        <v>4062.5</v>
      </c>
      <c r="L45" s="149">
        <v>8350</v>
      </c>
      <c r="M45" s="114"/>
      <c r="N45" s="2"/>
      <c r="O45" s="114"/>
      <c r="P45" s="114"/>
      <c r="Q45" s="127">
        <v>1</v>
      </c>
      <c r="R45" s="106" t="s">
        <v>9</v>
      </c>
      <c r="S45" s="22">
        <v>225</v>
      </c>
      <c r="T45" s="135" t="s">
        <v>14</v>
      </c>
      <c r="U45" s="135">
        <v>0</v>
      </c>
      <c r="V45" s="135" t="s">
        <v>11</v>
      </c>
      <c r="Y45" s="25"/>
      <c r="Z45" s="25"/>
      <c r="AA45" s="25"/>
      <c r="AB45"/>
      <c r="AC45"/>
      <c r="AD45"/>
      <c r="AE45"/>
    </row>
    <row r="46" spans="1:31" ht="12.75">
      <c r="A46" s="141" t="s">
        <v>496</v>
      </c>
      <c r="B46" s="141" t="s">
        <v>502</v>
      </c>
      <c r="C46" s="142">
        <f>(HearingAids[[#This Row],[haMSRP]]*2)+HearingAids[[#This Row],[chargerPrice]]</f>
        <v>11963</v>
      </c>
      <c r="D46" s="143">
        <v>5819</v>
      </c>
      <c r="E46" s="143" t="s">
        <v>537</v>
      </c>
      <c r="F46" s="143">
        <f>HearingAids[[#This Row],[haMSRP]]-((HearingAids[[#This Row],[ListPriceBinural]]-HearingAids[[#This Row],[chargerPrice]])/2)</f>
        <v>1256.5</v>
      </c>
      <c r="G46" s="143">
        <f>HearingAids[[#This Row],[haMSRP]]-HearingAids[[#This Row],[Discount Amount 1]]</f>
        <v>4562.5</v>
      </c>
      <c r="H46" s="101">
        <v>9450</v>
      </c>
      <c r="I46" s="144" t="s">
        <v>617</v>
      </c>
      <c r="J46" s="2">
        <f>(HearingAids[[#This Row],[haMSRP]]-HearingAids[[#This Row],[Discount Amount 1]])-(HearingAids[[#This Row],[haNetPriceBinural]]-HearingAids[[#This Row],[chargerPrice]])/2</f>
        <v>750</v>
      </c>
      <c r="K46" s="145">
        <f>HearingAids[[#This Row],[HAListPrice]]-HearingAids[[#This Row],[Discount Amount 2]]</f>
        <v>3812.5</v>
      </c>
      <c r="L46" s="152">
        <v>7950</v>
      </c>
      <c r="M46" s="145"/>
      <c r="N46" s="145"/>
      <c r="O46" s="145"/>
      <c r="P46" s="145"/>
      <c r="Q46" s="146">
        <v>1</v>
      </c>
      <c r="R46" s="146" t="s">
        <v>13</v>
      </c>
      <c r="S46" s="22">
        <v>325</v>
      </c>
      <c r="T46" s="147" t="s">
        <v>14</v>
      </c>
      <c r="U46" s="148">
        <v>0</v>
      </c>
      <c r="V46" s="147" t="s">
        <v>11</v>
      </c>
      <c r="Y46" s="25"/>
      <c r="Z46" s="25"/>
      <c r="AA46" s="25"/>
      <c r="AB46"/>
      <c r="AC46"/>
      <c r="AD46"/>
      <c r="AE46"/>
    </row>
    <row r="47" spans="1:31" ht="12.75">
      <c r="A47" s="141" t="s">
        <v>498</v>
      </c>
      <c r="B47" s="141" t="s">
        <v>504</v>
      </c>
      <c r="C47" s="142">
        <f>(HearingAids[[#This Row],[haMSRP]]*2)+HearingAids[[#This Row],[chargerPrice]]</f>
        <v>7703</v>
      </c>
      <c r="D47" s="143">
        <v>3689</v>
      </c>
      <c r="E47" s="143" t="s">
        <v>537</v>
      </c>
      <c r="F47" s="143">
        <f>HearingAids[[#This Row],[haMSRP]]-((HearingAids[[#This Row],[ListPriceBinural]]-HearingAids[[#This Row],[chargerPrice]])/2)</f>
        <v>326.5</v>
      </c>
      <c r="G47" s="143">
        <f>HearingAids[[#This Row],[haMSRP]]-HearingAids[[#This Row],[Discount Amount 1]]</f>
        <v>3362.5</v>
      </c>
      <c r="H47" s="101">
        <v>7050</v>
      </c>
      <c r="I47" s="144" t="s">
        <v>618</v>
      </c>
      <c r="J47" s="2">
        <f>(HearingAids[[#This Row],[haMSRP]]-HearingAids[[#This Row],[Discount Amount 1]])-(HearingAids[[#This Row],[haNetPriceBinural]]-HearingAids[[#This Row],[chargerPrice]])/2</f>
        <v>700</v>
      </c>
      <c r="K47" s="145">
        <f>HearingAids[[#This Row],[HAListPrice]]-HearingAids[[#This Row],[Discount Amount 2]]</f>
        <v>2662.5</v>
      </c>
      <c r="L47" s="152">
        <v>5650</v>
      </c>
      <c r="M47" s="145"/>
      <c r="N47" s="145"/>
      <c r="O47" s="145"/>
      <c r="P47" s="145"/>
      <c r="Q47" s="146">
        <v>1</v>
      </c>
      <c r="R47" s="146" t="s">
        <v>13</v>
      </c>
      <c r="S47" s="22">
        <v>325</v>
      </c>
      <c r="T47" s="147" t="s">
        <v>14</v>
      </c>
      <c r="U47" s="148">
        <v>0</v>
      </c>
      <c r="V47" s="147" t="s">
        <v>11</v>
      </c>
      <c r="Y47" s="25"/>
      <c r="Z47" s="25"/>
      <c r="AA47" s="25"/>
      <c r="AB47"/>
      <c r="AC47"/>
      <c r="AD47"/>
      <c r="AE47"/>
    </row>
    <row r="48" spans="1:31" ht="12.75">
      <c r="A48" s="141" t="s">
        <v>497</v>
      </c>
      <c r="B48" s="141" t="s">
        <v>503</v>
      </c>
      <c r="C48" s="142">
        <f>(HearingAids[[#This Row],[haMSRP]]*2)+HearingAids[[#This Row],[chargerPrice]]</f>
        <v>9683</v>
      </c>
      <c r="D48" s="143">
        <v>4679</v>
      </c>
      <c r="E48" s="143" t="s">
        <v>537</v>
      </c>
      <c r="F48" s="143">
        <f>HearingAids[[#This Row],[haMSRP]]-((HearingAids[[#This Row],[ListPriceBinural]]-HearingAids[[#This Row],[chargerPrice]])/2)</f>
        <v>666.5</v>
      </c>
      <c r="G48" s="143">
        <f>HearingAids[[#This Row],[haMSRP]]-HearingAids[[#This Row],[Discount Amount 1]]</f>
        <v>4012.5</v>
      </c>
      <c r="H48" s="101">
        <v>8350</v>
      </c>
      <c r="I48" s="144" t="s">
        <v>619</v>
      </c>
      <c r="J48" s="2">
        <f>(HearingAids[[#This Row],[haMSRP]]-HearingAids[[#This Row],[Discount Amount 1]])-(HearingAids[[#This Row],[haNetPriceBinural]]-HearingAids[[#This Row],[chargerPrice]])/2</f>
        <v>700</v>
      </c>
      <c r="K48" s="145">
        <f>HearingAids[[#This Row],[HAListPrice]]-HearingAids[[#This Row],[Discount Amount 2]]</f>
        <v>3312.5</v>
      </c>
      <c r="L48" s="152">
        <v>6950</v>
      </c>
      <c r="M48" s="145"/>
      <c r="N48" s="145"/>
      <c r="O48" s="145"/>
      <c r="P48" s="145"/>
      <c r="Q48" s="146">
        <v>1</v>
      </c>
      <c r="R48" s="146" t="s">
        <v>13</v>
      </c>
      <c r="S48" s="22">
        <v>325</v>
      </c>
      <c r="T48" s="147" t="s">
        <v>14</v>
      </c>
      <c r="U48" s="148">
        <v>0</v>
      </c>
      <c r="V48" s="147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5" t="s">
        <v>519</v>
      </c>
      <c r="C49" s="51">
        <f>(HearingAids[[#This Row],[haMSRP]]*2)+HearingAids[[#This Row],[chargerPrice]]</f>
        <v>11638</v>
      </c>
      <c r="D49" s="38">
        <v>5819</v>
      </c>
      <c r="E49" s="50" t="s">
        <v>537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8">
        <v>9450</v>
      </c>
      <c r="I49" s="43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49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0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5" t="s">
        <v>531</v>
      </c>
      <c r="C50" s="51">
        <f>(HearingAids[[#This Row],[haMSRP]]*2)+HearingAids[[#This Row],[chargerPrice]]</f>
        <v>11638</v>
      </c>
      <c r="D50" s="38">
        <v>5819</v>
      </c>
      <c r="E50" s="50" t="s">
        <v>537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8">
        <v>9450</v>
      </c>
      <c r="I50" s="43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49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0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5" t="s">
        <v>532</v>
      </c>
      <c r="C51" s="51">
        <f>(HearingAids[[#This Row],[haMSRP]]*2)+HearingAids[[#This Row],[chargerPrice]]</f>
        <v>7378</v>
      </c>
      <c r="D51" s="38">
        <v>3689</v>
      </c>
      <c r="E51" s="50" t="s">
        <v>537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8">
        <v>7050</v>
      </c>
      <c r="I51" s="43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49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0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5" t="s">
        <v>533</v>
      </c>
      <c r="C52" s="51">
        <f>(HearingAids[[#This Row],[haMSRP]]*2)+HearingAids[[#This Row],[chargerPrice]]</f>
        <v>7378</v>
      </c>
      <c r="D52" s="38">
        <v>3689</v>
      </c>
      <c r="E52" s="50" t="s">
        <v>537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8">
        <v>7050</v>
      </c>
      <c r="I52" s="43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49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0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5" t="s">
        <v>534</v>
      </c>
      <c r="C53" s="51">
        <f>(HearingAids[[#This Row],[haMSRP]]*2)+HearingAids[[#This Row],[chargerPrice]]</f>
        <v>9358</v>
      </c>
      <c r="D53" s="38">
        <v>4679</v>
      </c>
      <c r="E53" s="50" t="s">
        <v>537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8">
        <v>8350</v>
      </c>
      <c r="I53" s="43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49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0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5" t="s">
        <v>535</v>
      </c>
      <c r="C54" s="51">
        <f>(HearingAids[[#This Row],[haMSRP]]*2)+HearingAids[[#This Row],[chargerPrice]]</f>
        <v>9358</v>
      </c>
      <c r="D54" s="38">
        <v>4679</v>
      </c>
      <c r="E54" s="50" t="s">
        <v>537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8">
        <v>8350</v>
      </c>
      <c r="I54" s="43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49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0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5" t="s">
        <v>507</v>
      </c>
      <c r="C55" s="51">
        <f>(HearingAids[[#This Row],[haMSRP]]*2)+HearingAids[[#This Row],[chargerPrice]]</f>
        <v>3718</v>
      </c>
      <c r="D55" s="38">
        <v>1859</v>
      </c>
      <c r="E55" s="50" t="s">
        <v>537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7">
        <v>3100</v>
      </c>
      <c r="I55" s="43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49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5" t="s">
        <v>506</v>
      </c>
      <c r="C56" s="51">
        <f>(HearingAids[[#This Row],[haMSRP]]*2)+HearingAids[[#This Row],[chargerPrice]]</f>
        <v>4903</v>
      </c>
      <c r="D56" s="38">
        <v>2339</v>
      </c>
      <c r="E56" s="50" t="s">
        <v>537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99">
        <v>3500</v>
      </c>
      <c r="I56" s="43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0">
        <v>3500</v>
      </c>
      <c r="M56" s="22"/>
      <c r="N56" s="22"/>
      <c r="O56" s="22"/>
      <c r="P56" s="39"/>
      <c r="Q56" s="40">
        <v>1</v>
      </c>
      <c r="R56" s="103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5" t="s">
        <v>505</v>
      </c>
      <c r="C57" s="51">
        <f>(HearingAids[[#This Row],[haMSRP]]*2)+HearingAids[[#This Row],[chargerPrice]]</f>
        <v>6283</v>
      </c>
      <c r="D57" s="38">
        <v>3029</v>
      </c>
      <c r="E57" s="50" t="s">
        <v>537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7">
        <v>5050</v>
      </c>
      <c r="I57" s="43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49">
        <v>5050</v>
      </c>
      <c r="M57" s="39"/>
      <c r="N57" s="39"/>
      <c r="O57" s="39"/>
      <c r="P57" s="39"/>
      <c r="Q57" s="40">
        <v>1</v>
      </c>
      <c r="R57" s="106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4" t="s">
        <v>502</v>
      </c>
      <c r="C58" s="53">
        <f>(HearingAids[[#This Row],[haMSRP]]*2)+HearingAids[[#This Row],[chargerPrice]]</f>
        <v>11963</v>
      </c>
      <c r="D58" s="38">
        <v>5819</v>
      </c>
      <c r="E58" s="50" t="s">
        <v>537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8">
        <v>9450</v>
      </c>
      <c r="I58" s="43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49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09" t="s">
        <v>504</v>
      </c>
      <c r="C59" s="53">
        <f>(HearingAids[[#This Row],[haMSRP]]*2)+HearingAids[[#This Row],[chargerPrice]]</f>
        <v>7703</v>
      </c>
      <c r="D59" s="38">
        <v>3689</v>
      </c>
      <c r="E59" s="50" t="s">
        <v>537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8">
        <v>7050</v>
      </c>
      <c r="I59" s="43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49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09" t="s">
        <v>503</v>
      </c>
      <c r="C60" s="53">
        <f>(HearingAids[[#This Row],[haMSRP]]*2)+HearingAids[[#This Row],[chargerPrice]]</f>
        <v>9683</v>
      </c>
      <c r="D60" s="38">
        <v>4679</v>
      </c>
      <c r="E60" s="50" t="s">
        <v>537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8">
        <v>8350</v>
      </c>
      <c r="I60" s="43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49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4">
        <f>(HearingAids[[#This Row],[haMSRP]]*2)+HearingAids[[#This Row],[chargerPrice]]</f>
        <v>3920</v>
      </c>
      <c r="D61" s="8">
        <v>1960</v>
      </c>
      <c r="E61" s="50" t="s">
        <v>537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7">
        <v>3100</v>
      </c>
      <c r="I61" s="43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49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0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5" t="s">
        <v>508</v>
      </c>
      <c r="C62" s="51">
        <f>(HearingAids[[#This Row],[haMSRP]]*2)+HearingAids[[#This Row],[chargerPrice]]</f>
        <v>3920</v>
      </c>
      <c r="D62" s="8">
        <v>1960</v>
      </c>
      <c r="E62" s="50" t="s">
        <v>537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7">
        <v>3100</v>
      </c>
      <c r="I62" s="43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49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0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5" t="s">
        <v>520</v>
      </c>
      <c r="C63" s="51">
        <f>(HearingAids[[#This Row],[haMSRP]]*2)+HearingAids[[#This Row],[chargerPrice]]</f>
        <v>3920</v>
      </c>
      <c r="D63" s="8">
        <v>1960</v>
      </c>
      <c r="E63" s="50" t="s">
        <v>537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7">
        <v>3100</v>
      </c>
      <c r="I63" s="43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49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5" t="s">
        <v>521</v>
      </c>
      <c r="C64" s="51">
        <f>(HearingAids[[#This Row],[haMSRP]]*2)+HearingAids[[#This Row],[chargerPrice]]</f>
        <v>3920</v>
      </c>
      <c r="D64" s="8">
        <v>1960</v>
      </c>
      <c r="E64" s="50" t="s">
        <v>537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7">
        <v>3100</v>
      </c>
      <c r="I64" s="43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49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5" t="s">
        <v>522</v>
      </c>
      <c r="C65" s="51">
        <f>(HearingAids[[#This Row],[haMSRP]]*2)+HearingAids[[#This Row],[chargerPrice]]</f>
        <v>3920</v>
      </c>
      <c r="D65" s="8">
        <v>1960</v>
      </c>
      <c r="E65" s="50" t="s">
        <v>537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7">
        <v>3100</v>
      </c>
      <c r="I65" s="43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49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0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5" t="s">
        <v>523</v>
      </c>
      <c r="C66" s="51">
        <f>(HearingAids[[#This Row],[haMSRP]]*2)+HearingAids[[#This Row],[chargerPrice]]</f>
        <v>3920</v>
      </c>
      <c r="D66" s="8">
        <v>1960</v>
      </c>
      <c r="E66" s="50" t="s">
        <v>537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7">
        <v>3100</v>
      </c>
      <c r="I66" s="43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49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0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5" t="s">
        <v>514</v>
      </c>
      <c r="C67" s="51">
        <f>(HearingAids[[#This Row],[haMSRP]]*2)+HearingAids[[#This Row],[chargerPrice]]</f>
        <v>3920</v>
      </c>
      <c r="D67" s="8">
        <v>1960</v>
      </c>
      <c r="E67" s="50" t="s">
        <v>537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7">
        <v>3100</v>
      </c>
      <c r="I67" s="43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49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5" t="s">
        <v>517</v>
      </c>
      <c r="C68" s="51">
        <f>(HearingAids[[#This Row],[haMSRP]]*2)+HearingAids[[#This Row],[chargerPrice]]</f>
        <v>3920</v>
      </c>
      <c r="D68" s="8">
        <v>1960</v>
      </c>
      <c r="E68" s="50" t="s">
        <v>537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7">
        <v>3100</v>
      </c>
      <c r="I68" s="43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49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4">
        <f>(HearingAids[[#This Row],[haMSRP]]*2)+HearingAids[[#This Row],[chargerPrice]]</f>
        <v>4690</v>
      </c>
      <c r="D69" s="8">
        <v>2345</v>
      </c>
      <c r="E69" s="50" t="s">
        <v>537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7">
        <v>3500</v>
      </c>
      <c r="I69" s="43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49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0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4">
        <f>(HearingAids[[#This Row],[haMSRP]]*2)+HearingAids[[#This Row],[chargerPrice]]</f>
        <v>4915</v>
      </c>
      <c r="D70" s="22">
        <v>2345</v>
      </c>
      <c r="E70" s="50" t="s">
        <v>537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7">
        <v>3500</v>
      </c>
      <c r="I70" s="43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49">
        <v>3500</v>
      </c>
      <c r="M70" s="39"/>
      <c r="N70" s="39"/>
      <c r="O70" s="39"/>
      <c r="P70" s="39"/>
      <c r="Q70" s="23">
        <v>1</v>
      </c>
      <c r="R70" s="104" t="s">
        <v>9</v>
      </c>
      <c r="S70" s="22">
        <v>225</v>
      </c>
      <c r="T70" s="24" t="s">
        <v>26</v>
      </c>
      <c r="U70" s="25">
        <v>0</v>
      </c>
      <c r="V70" s="161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5" t="s">
        <v>509</v>
      </c>
      <c r="C71" s="51">
        <f>(HearingAids[[#This Row],[haMSRP]]*2)+HearingAids[[#This Row],[chargerPrice]]</f>
        <v>4690</v>
      </c>
      <c r="D71" s="8">
        <v>2345</v>
      </c>
      <c r="E71" s="50" t="s">
        <v>537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7">
        <v>3500</v>
      </c>
      <c r="I71" s="43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49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0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5" t="s">
        <v>524</v>
      </c>
      <c r="C72" s="51">
        <f>(HearingAids[[#This Row],[haMSRP]]*2)+HearingAids[[#This Row],[chargerPrice]]</f>
        <v>4690</v>
      </c>
      <c r="D72" s="8">
        <v>2345</v>
      </c>
      <c r="E72" s="50" t="s">
        <v>537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7">
        <v>3500</v>
      </c>
      <c r="I72" s="43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49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5" t="s">
        <v>525</v>
      </c>
      <c r="C73" s="51">
        <f>(HearingAids[[#This Row],[haMSRP]]*2)+HearingAids[[#This Row],[chargerPrice]]</f>
        <v>4690</v>
      </c>
      <c r="D73" s="8">
        <v>2345</v>
      </c>
      <c r="E73" s="50" t="s">
        <v>537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7">
        <v>3500</v>
      </c>
      <c r="I73" s="43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49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5" t="s">
        <v>526</v>
      </c>
      <c r="C74" s="51">
        <f>(HearingAids[[#This Row],[haMSRP]]*2)+HearingAids[[#This Row],[chargerPrice]]</f>
        <v>4690</v>
      </c>
      <c r="D74" s="8">
        <v>2345</v>
      </c>
      <c r="E74" s="50" t="s">
        <v>537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7">
        <v>3500</v>
      </c>
      <c r="I74" s="43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49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0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5" t="s">
        <v>527</v>
      </c>
      <c r="C75" s="51">
        <f>(HearingAids[[#This Row],[haMSRP]]*2)+HearingAids[[#This Row],[chargerPrice]]</f>
        <v>4690</v>
      </c>
      <c r="D75" s="8">
        <v>2345</v>
      </c>
      <c r="E75" s="50" t="s">
        <v>537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7">
        <v>3500</v>
      </c>
      <c r="I75" s="43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49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0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5" t="s">
        <v>511</v>
      </c>
      <c r="C76" s="51">
        <f>(HearingAids[[#This Row],[haMSRP]]*2)+HearingAids[[#This Row],[chargerPrice]]</f>
        <v>4690</v>
      </c>
      <c r="D76" s="8">
        <v>2345</v>
      </c>
      <c r="E76" s="50" t="s">
        <v>537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7">
        <v>3500</v>
      </c>
      <c r="I76" s="43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49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5" t="s">
        <v>515</v>
      </c>
      <c r="C77" s="51">
        <f>(HearingAids[[#This Row],[haMSRP]]*2)+HearingAids[[#This Row],[chargerPrice]]</f>
        <v>4690</v>
      </c>
      <c r="D77" s="8">
        <v>2345</v>
      </c>
      <c r="E77" s="50" t="s">
        <v>537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7">
        <v>3500</v>
      </c>
      <c r="I77" s="43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49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5" t="s">
        <v>518</v>
      </c>
      <c r="C78" s="51">
        <f>(HearingAids[[#This Row],[haMSRP]]*2)+HearingAids[[#This Row],[chargerPrice]]</f>
        <v>4690</v>
      </c>
      <c r="D78" s="8">
        <v>2345</v>
      </c>
      <c r="E78" s="50" t="s">
        <v>537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7">
        <v>3500</v>
      </c>
      <c r="I78" s="43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49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4">
        <f>(HearingAids[[#This Row],[haMSRP]]*2)+HearingAids[[#This Row],[chargerPrice]]</f>
        <v>6283</v>
      </c>
      <c r="D79" s="38">
        <v>3029</v>
      </c>
      <c r="E79" s="50" t="s">
        <v>537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7">
        <v>5050</v>
      </c>
      <c r="I79" s="43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49">
        <v>5050</v>
      </c>
      <c r="M79" s="39"/>
      <c r="N79" s="39"/>
      <c r="O79" s="39"/>
      <c r="P79" s="39"/>
      <c r="Q79" s="15">
        <v>1</v>
      </c>
      <c r="R79" s="105" t="s">
        <v>9</v>
      </c>
      <c r="S79" s="22">
        <v>225</v>
      </c>
      <c r="T79" s="10" t="s">
        <v>26</v>
      </c>
      <c r="U79" s="7">
        <v>0</v>
      </c>
      <c r="V79" s="160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5" t="s">
        <v>510</v>
      </c>
      <c r="C80" s="51">
        <f>(HearingAids[[#This Row],[haMSRP]]*2)+HearingAids[[#This Row],[chargerPrice]]</f>
        <v>6058</v>
      </c>
      <c r="D80" s="38">
        <v>3029</v>
      </c>
      <c r="E80" s="50" t="s">
        <v>537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7">
        <v>5050</v>
      </c>
      <c r="I80" s="43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49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0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5" t="s">
        <v>528</v>
      </c>
      <c r="C81" s="51">
        <f>(HearingAids[[#This Row],[haMSRP]]*2)+HearingAids[[#This Row],[chargerPrice]]</f>
        <v>6058</v>
      </c>
      <c r="D81" s="38">
        <v>3029</v>
      </c>
      <c r="E81" s="50" t="s">
        <v>537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7">
        <v>5050</v>
      </c>
      <c r="I81" s="43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49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5" t="s">
        <v>529</v>
      </c>
      <c r="C82" s="51">
        <f>(HearingAids[[#This Row],[haMSRP]]*2)+HearingAids[[#This Row],[chargerPrice]]</f>
        <v>6058</v>
      </c>
      <c r="D82" s="38">
        <v>3029</v>
      </c>
      <c r="E82" s="50" t="s">
        <v>537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7">
        <v>5050</v>
      </c>
      <c r="I82" s="43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49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5" t="s">
        <v>530</v>
      </c>
      <c r="C83" s="51">
        <f>(HearingAids[[#This Row],[haMSRP]]*2)+HearingAids[[#This Row],[chargerPrice]]</f>
        <v>6058</v>
      </c>
      <c r="D83" s="38">
        <v>3029</v>
      </c>
      <c r="E83" s="50" t="s">
        <v>537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7">
        <v>5050</v>
      </c>
      <c r="I83" s="43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49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0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5" t="s">
        <v>536</v>
      </c>
      <c r="C84" s="51">
        <f>(HearingAids[[#This Row],[haMSRP]]*2)+HearingAids[[#This Row],[chargerPrice]]</f>
        <v>6058</v>
      </c>
      <c r="D84" s="38">
        <v>3029</v>
      </c>
      <c r="E84" s="50" t="s">
        <v>537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7">
        <v>5050</v>
      </c>
      <c r="I84" s="43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49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0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5" t="s">
        <v>512</v>
      </c>
      <c r="C85" s="51">
        <f>(HearingAids[[#This Row],[haMSRP]]*2)+HearingAids[[#This Row],[chargerPrice]]</f>
        <v>6058</v>
      </c>
      <c r="D85" s="38">
        <v>3029</v>
      </c>
      <c r="E85" s="50" t="s">
        <v>537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7">
        <v>5050</v>
      </c>
      <c r="I85" s="43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49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5" t="s">
        <v>513</v>
      </c>
      <c r="C86" s="51">
        <f>(HearingAids[[#This Row],[haMSRP]]*2)+HearingAids[[#This Row],[chargerPrice]]</f>
        <v>6058</v>
      </c>
      <c r="D86" s="38">
        <v>3029</v>
      </c>
      <c r="E86" s="50" t="s">
        <v>537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7">
        <v>5050</v>
      </c>
      <c r="I86" s="43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49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5" t="s">
        <v>516</v>
      </c>
      <c r="C87" s="51">
        <f>(HearingAids[[#This Row],[haMSRP]]*2)+HearingAids[[#This Row],[chargerPrice]]</f>
        <v>6058</v>
      </c>
      <c r="D87" s="38">
        <v>3029</v>
      </c>
      <c r="E87" s="50" t="s">
        <v>537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7">
        <v>5050</v>
      </c>
      <c r="I87" s="43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49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2">
        <f>(HearingAids[[#This Row],[haMSRP]]*2)+HearingAids[[#This Row],[chargerPrice]]</f>
        <v>11963</v>
      </c>
      <c r="D88" s="38">
        <v>5819</v>
      </c>
      <c r="E88" s="50" t="s">
        <v>537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8">
        <v>9450</v>
      </c>
      <c r="I88" s="43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49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0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2">
        <f>(HearingAids[[#This Row],[haMSRP]]*2)+HearingAids[[#This Row],[chargerPrice]]</f>
        <v>7703</v>
      </c>
      <c r="D89" s="38">
        <v>3689</v>
      </c>
      <c r="E89" s="50" t="s">
        <v>537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8">
        <v>7050</v>
      </c>
      <c r="I89" s="43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49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0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2">
        <f>(HearingAids[[#This Row],[haMSRP]]*2)+HearingAids[[#This Row],[chargerPrice]]</f>
        <v>9683</v>
      </c>
      <c r="D90" s="38">
        <v>4679</v>
      </c>
      <c r="E90" s="50" t="s">
        <v>537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8">
        <v>8350</v>
      </c>
      <c r="I90" s="43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49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0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0" t="s">
        <v>620</v>
      </c>
      <c r="B91" s="141" t="s">
        <v>625</v>
      </c>
      <c r="C91" s="54">
        <f>(HearingAids[[#This Row],[haMSRP]]*2)+HearingAids[[#This Row],[chargerPrice]]</f>
        <v>11863</v>
      </c>
      <c r="D91" s="114">
        <v>5819</v>
      </c>
      <c r="E91" s="114" t="s">
        <v>537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8">
        <v>9450</v>
      </c>
      <c r="I91" s="120" t="s">
        <v>177</v>
      </c>
      <c r="J91" s="2"/>
      <c r="K91" s="2">
        <f>HearingAids[[#This Row],[HAListPrice]]-HearingAids[[#This Row],[Discount Amount 2]]</f>
        <v>4612.5</v>
      </c>
      <c r="L91" s="149">
        <v>9450</v>
      </c>
      <c r="M91" s="114"/>
      <c r="N91" s="2"/>
      <c r="O91" s="114"/>
      <c r="P91" s="114"/>
      <c r="Q91" s="127">
        <v>1</v>
      </c>
      <c r="R91" s="106" t="s">
        <v>9</v>
      </c>
      <c r="S91" s="22">
        <v>225</v>
      </c>
      <c r="T91" s="135" t="s">
        <v>14</v>
      </c>
      <c r="U91" s="135">
        <v>0</v>
      </c>
      <c r="V91" s="135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41" t="s">
        <v>623</v>
      </c>
      <c r="B92" s="141" t="s">
        <v>624</v>
      </c>
      <c r="C92" s="54">
        <f>(HearingAids[[#This Row],[haMSRP]]*2)+HearingAids[[#This Row],[chargerPrice]]</f>
        <v>6283</v>
      </c>
      <c r="D92" s="114">
        <v>3029</v>
      </c>
      <c r="E92" s="114" t="s">
        <v>537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8">
        <v>5050</v>
      </c>
      <c r="I92" s="120" t="s">
        <v>177</v>
      </c>
      <c r="J92" s="2"/>
      <c r="K92" s="2">
        <f>HearingAids[[#This Row],[HAListPrice]]-HearingAids[[#This Row],[Discount Amount 2]]</f>
        <v>2412.5</v>
      </c>
      <c r="L92" s="149">
        <v>5050</v>
      </c>
      <c r="M92" s="114"/>
      <c r="N92" s="2"/>
      <c r="O92" s="114"/>
      <c r="P92" s="114"/>
      <c r="Q92" s="127">
        <v>1</v>
      </c>
      <c r="R92" s="106" t="s">
        <v>9</v>
      </c>
      <c r="S92" s="22">
        <v>225</v>
      </c>
      <c r="T92" s="135"/>
      <c r="U92" s="135"/>
      <c r="V92" s="135"/>
      <c r="W92" s="7"/>
      <c r="Y92" s="25"/>
      <c r="Z92" s="25"/>
      <c r="AA92" s="25"/>
      <c r="AB92"/>
      <c r="AC92"/>
      <c r="AD92"/>
      <c r="AE92"/>
    </row>
    <row r="93" spans="1:31" ht="12.75">
      <c r="A93" s="110" t="s">
        <v>622</v>
      </c>
      <c r="B93" s="141" t="s">
        <v>626</v>
      </c>
      <c r="C93" s="54">
        <f>(HearingAids[[#This Row],[haMSRP]]*2)+HearingAids[[#This Row],[chargerPrice]]</f>
        <v>9583</v>
      </c>
      <c r="D93" s="114">
        <v>4679</v>
      </c>
      <c r="E93" s="114" t="s">
        <v>537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8">
        <v>7050</v>
      </c>
      <c r="I93" s="120" t="s">
        <v>177</v>
      </c>
      <c r="J93" s="2"/>
      <c r="K93" s="2">
        <f>HearingAids[[#This Row],[HAListPrice]]-HearingAids[[#This Row],[Discount Amount 2]]</f>
        <v>3412.5</v>
      </c>
      <c r="L93" s="149">
        <v>7050</v>
      </c>
      <c r="M93" s="114"/>
      <c r="N93" s="2"/>
      <c r="O93" s="114"/>
      <c r="P93" s="114"/>
      <c r="Q93" s="127">
        <v>1</v>
      </c>
      <c r="R93" s="106" t="s">
        <v>9</v>
      </c>
      <c r="S93" s="22">
        <v>225</v>
      </c>
      <c r="T93" s="135" t="s">
        <v>14</v>
      </c>
      <c r="U93" s="135">
        <v>0</v>
      </c>
      <c r="V93" s="135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0" t="s">
        <v>621</v>
      </c>
      <c r="B94" s="141" t="s">
        <v>627</v>
      </c>
      <c r="C94" s="54">
        <f>(HearingAids[[#This Row],[haMSRP]]*2)+HearingAids[[#This Row],[chargerPrice]]</f>
        <v>7603</v>
      </c>
      <c r="D94" s="114">
        <v>3689</v>
      </c>
      <c r="E94" s="114" t="s">
        <v>537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8">
        <v>8350</v>
      </c>
      <c r="I94" s="120" t="s">
        <v>177</v>
      </c>
      <c r="J94" s="2"/>
      <c r="K94" s="2">
        <f>HearingAids[[#This Row],[HAListPrice]]-HearingAids[[#This Row],[Discount Amount 2]]</f>
        <v>4062.5</v>
      </c>
      <c r="L94" s="149">
        <v>8350</v>
      </c>
      <c r="M94" s="114"/>
      <c r="N94" s="2"/>
      <c r="O94" s="114"/>
      <c r="P94" s="114"/>
      <c r="Q94" s="127">
        <v>1</v>
      </c>
      <c r="R94" s="106" t="s">
        <v>9</v>
      </c>
      <c r="S94" s="22">
        <v>225</v>
      </c>
      <c r="T94" s="135" t="s">
        <v>14</v>
      </c>
      <c r="U94" s="135">
        <v>0</v>
      </c>
      <c r="V94" s="13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5" t="s">
        <v>506</v>
      </c>
      <c r="C95" s="51">
        <f>(HearingAids[[#This Row],[haMSRP]]*2)+HearingAids[[#This Row],[chargerPrice]]</f>
        <v>4903</v>
      </c>
      <c r="D95" s="38">
        <v>2339</v>
      </c>
      <c r="E95" s="50" t="s">
        <v>537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99">
        <v>3500</v>
      </c>
      <c r="I95" s="172" t="s">
        <v>637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0">
        <v>3390</v>
      </c>
      <c r="M95" s="2"/>
      <c r="N95" s="2"/>
      <c r="O95" s="2"/>
      <c r="P95" s="22"/>
      <c r="Q95" s="23">
        <v>1</v>
      </c>
      <c r="R95" s="104" t="s">
        <v>9</v>
      </c>
      <c r="S95" s="22">
        <v>225</v>
      </c>
      <c r="T95" s="24" t="s">
        <v>26</v>
      </c>
      <c r="U95" s="25">
        <v>0</v>
      </c>
      <c r="V95" s="161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2">
        <f>(HearingAids[[#This Row],[haMSRP]]*2)+HearingAids[[#This Row],[chargerPrice]]</f>
        <v>11963</v>
      </c>
      <c r="D96" s="38">
        <v>5819</v>
      </c>
      <c r="E96" s="50" t="s">
        <v>537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8">
        <v>9450</v>
      </c>
      <c r="I96" s="172" t="s">
        <v>637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49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0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2">
        <f>(HearingAids[[#This Row],[haMSRP]]*2)+HearingAids[[#This Row],[chargerPrice]]</f>
        <v>7703</v>
      </c>
      <c r="D97" s="38">
        <v>3689</v>
      </c>
      <c r="E97" s="50" t="s">
        <v>537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8">
        <v>7050</v>
      </c>
      <c r="I97" s="172" t="s">
        <v>637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49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0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4">
        <f>(HearingAids[[#This Row],[haMSRP]]*2)+HearingAids[[#This Row],[chargerPrice]]</f>
        <v>9683</v>
      </c>
      <c r="D98" s="38">
        <v>4679</v>
      </c>
      <c r="E98" s="50" t="s">
        <v>537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8">
        <v>8350</v>
      </c>
      <c r="I98" s="172" t="s">
        <v>637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49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0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5" t="s">
        <v>506</v>
      </c>
      <c r="C99" s="51">
        <f>(HearingAids[[#This Row],[haMSRP]]*2)+HearingAids[[#This Row],[chargerPrice]]</f>
        <v>4903</v>
      </c>
      <c r="D99" s="38">
        <v>2339</v>
      </c>
      <c r="E99" s="50" t="s">
        <v>537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99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0">
        <v>3390</v>
      </c>
      <c r="M99" s="2"/>
      <c r="N99" s="2"/>
      <c r="O99" s="2"/>
      <c r="P99" s="22"/>
      <c r="Q99" s="23">
        <v>1</v>
      </c>
      <c r="R99" s="104" t="s">
        <v>9</v>
      </c>
      <c r="S99" s="22">
        <v>225</v>
      </c>
      <c r="T99" s="24" t="s">
        <v>26</v>
      </c>
      <c r="U99" s="25">
        <v>0</v>
      </c>
      <c r="V99" s="161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2">
        <f>(HearingAids[[#This Row],[haMSRP]]*2)+HearingAids[[#This Row],[chargerPrice]]</f>
        <v>11963</v>
      </c>
      <c r="D100" s="38">
        <v>5819</v>
      </c>
      <c r="E100" s="50" t="s">
        <v>537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8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49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0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4">
        <f>(HearingAids[[#This Row],[haMSRP]]*2)+HearingAids[[#This Row],[chargerPrice]]</f>
        <v>7703</v>
      </c>
      <c r="D101" s="38">
        <v>3689</v>
      </c>
      <c r="E101" s="50" t="s">
        <v>537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8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49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0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4">
        <f>(HearingAids[[#This Row],[haMSRP]]*2)+HearingAids[[#This Row],[chargerPrice]]</f>
        <v>9683</v>
      </c>
      <c r="D102" s="38">
        <v>4679</v>
      </c>
      <c r="E102" s="50" t="s">
        <v>537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8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49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0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5" t="s">
        <v>506</v>
      </c>
      <c r="C103" s="51">
        <f>(HearingAids[[#This Row],[haMSRP]]*2)+HearingAids[[#This Row],[chargerPrice]]</f>
        <v>4903</v>
      </c>
      <c r="D103" s="38">
        <v>2339</v>
      </c>
      <c r="E103" s="50" t="s">
        <v>537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99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0">
        <v>3390</v>
      </c>
      <c r="M103" s="2"/>
      <c r="N103" s="2"/>
      <c r="O103" s="2"/>
      <c r="P103" s="22"/>
      <c r="Q103" s="23">
        <v>1</v>
      </c>
      <c r="R103" s="104" t="s">
        <v>9</v>
      </c>
      <c r="S103" s="22">
        <v>225</v>
      </c>
      <c r="T103" s="24" t="s">
        <v>26</v>
      </c>
      <c r="U103" s="25">
        <v>0</v>
      </c>
      <c r="V103" s="161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2">
        <f>(HearingAids[[#This Row],[haMSRP]]*2)+HearingAids[[#This Row],[chargerPrice]]</f>
        <v>11963</v>
      </c>
      <c r="D104" s="38">
        <v>5819</v>
      </c>
      <c r="E104" s="50" t="s">
        <v>537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8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49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0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4">
        <f>(HearingAids[[#This Row],[haMSRP]]*2)+HearingAids[[#This Row],[chargerPrice]]</f>
        <v>7703</v>
      </c>
      <c r="D105" s="38">
        <v>3689</v>
      </c>
      <c r="E105" s="50" t="s">
        <v>537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8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49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0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4">
        <f>(HearingAids[[#This Row],[haMSRP]]*2)+HearingAids[[#This Row],[chargerPrice]]</f>
        <v>9683</v>
      </c>
      <c r="D106" s="38">
        <v>4679</v>
      </c>
      <c r="E106" s="50" t="s">
        <v>537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8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49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0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5" t="s">
        <v>506</v>
      </c>
      <c r="C107" s="51">
        <f>(HearingAids[[#This Row],[haMSRP]]*2)+HearingAids[[#This Row],[chargerPrice]]</f>
        <v>4903</v>
      </c>
      <c r="D107" s="38">
        <v>2339</v>
      </c>
      <c r="E107" s="50" t="s">
        <v>537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99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0">
        <v>3390</v>
      </c>
      <c r="M107" s="2"/>
      <c r="N107" s="2"/>
      <c r="O107" s="2"/>
      <c r="P107" s="22"/>
      <c r="Q107" s="15">
        <v>1</v>
      </c>
      <c r="R107" s="105" t="s">
        <v>9</v>
      </c>
      <c r="S107" s="22">
        <v>225</v>
      </c>
      <c r="T107" s="10" t="s">
        <v>26</v>
      </c>
      <c r="U107" s="10">
        <v>0</v>
      </c>
      <c r="V107" s="16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2">
        <f>(HearingAids[[#This Row],[haMSRP]]*2)+HearingAids[[#This Row],[chargerPrice]]</f>
        <v>11963</v>
      </c>
      <c r="D108" s="38">
        <v>5819</v>
      </c>
      <c r="E108" s="50" t="s">
        <v>537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8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49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0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4">
        <f>(HearingAids[[#This Row],[haMSRP]]*2)+HearingAids[[#This Row],[chargerPrice]]</f>
        <v>7703</v>
      </c>
      <c r="D109" s="38">
        <v>3689</v>
      </c>
      <c r="E109" s="50" t="s">
        <v>537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8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49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0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4">
        <f>(HearingAids[[#This Row],[haMSRP]]*2)+HearingAids[[#This Row],[chargerPrice]]</f>
        <v>9683</v>
      </c>
      <c r="D110" s="38">
        <v>4679</v>
      </c>
      <c r="E110" s="50" t="s">
        <v>537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8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49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0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5" t="s">
        <v>519</v>
      </c>
      <c r="C111" s="51">
        <f>(HearingAids[[#This Row],[haMSRP]]*2)+HearingAids[[#This Row],[chargerPrice]]</f>
        <v>11638</v>
      </c>
      <c r="D111" s="38">
        <v>5819</v>
      </c>
      <c r="E111" s="50" t="s">
        <v>537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8">
        <v>9450</v>
      </c>
      <c r="I111" s="46" t="s">
        <v>538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49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0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5" t="s">
        <v>531</v>
      </c>
      <c r="C112" s="51">
        <f>(HearingAids[[#This Row],[haMSRP]]*2)+HearingAids[[#This Row],[chargerPrice]]</f>
        <v>11638</v>
      </c>
      <c r="D112" s="38">
        <v>5819</v>
      </c>
      <c r="E112" s="50" t="s">
        <v>537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8">
        <v>9450</v>
      </c>
      <c r="I112" s="46" t="s">
        <v>538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49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0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5" t="s">
        <v>532</v>
      </c>
      <c r="C113" s="51">
        <f>(HearingAids[[#This Row],[haMSRP]]*2)+HearingAids[[#This Row],[chargerPrice]]</f>
        <v>7378</v>
      </c>
      <c r="D113" s="38">
        <v>3689</v>
      </c>
      <c r="E113" s="50" t="s">
        <v>537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8">
        <v>7050</v>
      </c>
      <c r="I113" s="46" t="s">
        <v>538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49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0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5" t="s">
        <v>533</v>
      </c>
      <c r="C114" s="51">
        <f>(HearingAids[[#This Row],[haMSRP]]*2)+HearingAids[[#This Row],[chargerPrice]]</f>
        <v>7378</v>
      </c>
      <c r="D114" s="38">
        <v>3689</v>
      </c>
      <c r="E114" s="50" t="s">
        <v>537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8">
        <v>7050</v>
      </c>
      <c r="I114" s="46" t="s">
        <v>538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49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0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5" t="s">
        <v>534</v>
      </c>
      <c r="C115" s="51">
        <f>(HearingAids[[#This Row],[haMSRP]]*2)+HearingAids[[#This Row],[chargerPrice]]</f>
        <v>9358</v>
      </c>
      <c r="D115" s="38">
        <v>4679</v>
      </c>
      <c r="E115" s="50" t="s">
        <v>537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8">
        <v>8350</v>
      </c>
      <c r="I115" s="46" t="s">
        <v>538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49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0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5" t="s">
        <v>535</v>
      </c>
      <c r="C116" s="51">
        <f>(HearingAids[[#This Row],[haMSRP]]*2)+HearingAids[[#This Row],[chargerPrice]]</f>
        <v>9358</v>
      </c>
      <c r="D116" s="38">
        <v>4679</v>
      </c>
      <c r="E116" s="50" t="s">
        <v>537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8">
        <v>8350</v>
      </c>
      <c r="I116" s="46" t="s">
        <v>538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49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0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5" t="s">
        <v>502</v>
      </c>
      <c r="C117" s="51">
        <f>(HearingAids[[#This Row],[haMSRP]]*2)+HearingAids[[#This Row],[chargerPrice]]</f>
        <v>11963</v>
      </c>
      <c r="D117" s="38">
        <v>5819</v>
      </c>
      <c r="E117" s="50" t="s">
        <v>537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8">
        <v>9450</v>
      </c>
      <c r="I117" s="46" t="s">
        <v>538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49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4" t="s">
        <v>504</v>
      </c>
      <c r="C118" s="53">
        <f>(HearingAids[[#This Row],[haMSRP]]*2)+HearingAids[[#This Row],[chargerPrice]]</f>
        <v>7703</v>
      </c>
      <c r="D118" s="38">
        <v>3689</v>
      </c>
      <c r="E118" s="50" t="s">
        <v>537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8">
        <v>7050</v>
      </c>
      <c r="I118" s="46" t="s">
        <v>538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49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5" t="s">
        <v>503</v>
      </c>
      <c r="C119" s="51">
        <f>(HearingAids[[#This Row],[haMSRP]]*2)+HearingAids[[#This Row],[chargerPrice]]</f>
        <v>9683</v>
      </c>
      <c r="D119" s="38">
        <v>4679</v>
      </c>
      <c r="E119" s="50" t="s">
        <v>537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8">
        <v>8350</v>
      </c>
      <c r="I119" s="61" t="s">
        <v>538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49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2">
        <f>(HearingAids[[#This Row],[haMSRP]]*2)+HearingAids[[#This Row],[chargerPrice]]</f>
        <v>11963</v>
      </c>
      <c r="D120" s="38">
        <v>5819</v>
      </c>
      <c r="E120" s="50" t="s">
        <v>537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8">
        <v>9450</v>
      </c>
      <c r="I120" s="46" t="s">
        <v>538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49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0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5" t="s">
        <v>417</v>
      </c>
      <c r="C121" s="51">
        <f>(HearingAids[[#This Row],[haMSRP]]*2)+HearingAids[[#This Row],[chargerPrice]]</f>
        <v>7703</v>
      </c>
      <c r="D121" s="38">
        <v>3689</v>
      </c>
      <c r="E121" s="50" t="s">
        <v>537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8">
        <v>7050</v>
      </c>
      <c r="I121" s="46" t="s">
        <v>538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49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0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2">
        <f>(HearingAids[[#This Row],[haMSRP]]*2)+HearingAids[[#This Row],[chargerPrice]]</f>
        <v>9683</v>
      </c>
      <c r="D122" s="38">
        <v>4679</v>
      </c>
      <c r="E122" s="50" t="s">
        <v>537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8">
        <v>8350</v>
      </c>
      <c r="I122" s="46" t="s">
        <v>538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49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0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0" t="s">
        <v>620</v>
      </c>
      <c r="B123" s="141" t="s">
        <v>625</v>
      </c>
      <c r="C123" s="54">
        <f>(HearingAids[[#This Row],[haMSRP]]*2)+HearingAids[[#This Row],[chargerPrice]]</f>
        <v>11863</v>
      </c>
      <c r="D123" s="114">
        <v>5819</v>
      </c>
      <c r="E123" s="114" t="s">
        <v>537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8">
        <v>9450</v>
      </c>
      <c r="I123" s="120" t="s">
        <v>538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49">
        <v>8450</v>
      </c>
      <c r="M123" s="114"/>
      <c r="N123" s="2"/>
      <c r="O123" s="114"/>
      <c r="P123" s="114"/>
      <c r="Q123" s="127">
        <v>1</v>
      </c>
      <c r="R123" s="106" t="s">
        <v>9</v>
      </c>
      <c r="S123" s="22">
        <v>225</v>
      </c>
      <c r="T123" s="135" t="s">
        <v>14</v>
      </c>
      <c r="U123" s="135">
        <v>0</v>
      </c>
      <c r="V123" s="135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0" t="s">
        <v>621</v>
      </c>
      <c r="B124" s="141" t="s">
        <v>626</v>
      </c>
      <c r="C124" s="54">
        <f>(HearingAids[[#This Row],[haMSRP]]*2)+HearingAids[[#This Row],[chargerPrice]]</f>
        <v>7603</v>
      </c>
      <c r="D124" s="114">
        <v>3689</v>
      </c>
      <c r="E124" s="114" t="s">
        <v>537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8">
        <v>7050</v>
      </c>
      <c r="I124" s="120" t="s">
        <v>538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49">
        <v>6050</v>
      </c>
      <c r="M124" s="114"/>
      <c r="N124" s="2"/>
      <c r="O124" s="114"/>
      <c r="P124" s="114"/>
      <c r="Q124" s="127">
        <v>1</v>
      </c>
      <c r="R124" s="106" t="s">
        <v>9</v>
      </c>
      <c r="S124" s="22">
        <v>225</v>
      </c>
      <c r="T124" s="135" t="s">
        <v>14</v>
      </c>
      <c r="U124" s="135">
        <v>0</v>
      </c>
      <c r="V124" s="13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0" t="s">
        <v>622</v>
      </c>
      <c r="B125" s="141" t="s">
        <v>627</v>
      </c>
      <c r="C125" s="54">
        <f>(HearingAids[[#This Row],[haMSRP]]*2)+HearingAids[[#This Row],[chargerPrice]]</f>
        <v>9583</v>
      </c>
      <c r="D125" s="114">
        <v>4679</v>
      </c>
      <c r="E125" s="114" t="s">
        <v>537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8">
        <v>8350</v>
      </c>
      <c r="I125" s="120" t="s">
        <v>538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49">
        <v>7350</v>
      </c>
      <c r="M125" s="114"/>
      <c r="N125" s="2"/>
      <c r="O125" s="114"/>
      <c r="P125" s="114"/>
      <c r="Q125" s="127">
        <v>1</v>
      </c>
      <c r="R125" s="106" t="s">
        <v>9</v>
      </c>
      <c r="S125" s="22">
        <v>225</v>
      </c>
      <c r="T125" s="135" t="s">
        <v>14</v>
      </c>
      <c r="U125" s="135">
        <v>0</v>
      </c>
      <c r="V125" s="135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5" t="s">
        <v>506</v>
      </c>
      <c r="C126" s="51">
        <f>(HearingAids[[#This Row],[haMSRP]]*2)+HearingAids[[#This Row],[chargerPrice]]</f>
        <v>4903</v>
      </c>
      <c r="D126" s="38">
        <v>2339</v>
      </c>
      <c r="E126" s="50" t="s">
        <v>537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99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0">
        <v>3390</v>
      </c>
      <c r="M126" s="2"/>
      <c r="N126" s="2"/>
      <c r="O126" s="2"/>
      <c r="P126" s="22"/>
      <c r="Q126" s="23">
        <v>1</v>
      </c>
      <c r="R126" s="104" t="s">
        <v>9</v>
      </c>
      <c r="S126" s="22">
        <v>225</v>
      </c>
      <c r="T126" s="24" t="s">
        <v>26</v>
      </c>
      <c r="U126" s="25">
        <v>0</v>
      </c>
      <c r="V126" s="161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2">
        <f>(HearingAids[[#This Row],[haMSRP]]*2)+HearingAids[[#This Row],[chargerPrice]]</f>
        <v>11963</v>
      </c>
      <c r="D127" s="38">
        <v>5819</v>
      </c>
      <c r="E127" s="50" t="s">
        <v>537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8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49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0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4">
        <f>(HearingAids[[#This Row],[haMSRP]]*2)+HearingAids[[#This Row],[chargerPrice]]</f>
        <v>7703</v>
      </c>
      <c r="D128" s="38">
        <v>3689</v>
      </c>
      <c r="E128" s="50" t="s">
        <v>537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8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49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0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4">
        <f>(HearingAids[[#This Row],[haMSRP]]*2)+HearingAids[[#This Row],[chargerPrice]]</f>
        <v>9683</v>
      </c>
      <c r="D129" s="38">
        <v>4679</v>
      </c>
      <c r="E129" s="50" t="s">
        <v>537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8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49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0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5" t="s">
        <v>506</v>
      </c>
      <c r="C130" s="51">
        <f>(HearingAids[[#This Row],[haMSRP]]*2)+HearingAids[[#This Row],[chargerPrice]]</f>
        <v>4903</v>
      </c>
      <c r="D130" s="38">
        <v>2339</v>
      </c>
      <c r="E130" s="50" t="s">
        <v>537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99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0">
        <v>3390</v>
      </c>
      <c r="M130" s="2"/>
      <c r="N130" s="2"/>
      <c r="O130" s="2"/>
      <c r="P130" s="22"/>
      <c r="Q130" s="23">
        <v>1</v>
      </c>
      <c r="R130" s="104" t="s">
        <v>9</v>
      </c>
      <c r="S130" s="22">
        <v>225</v>
      </c>
      <c r="T130" s="24" t="s">
        <v>26</v>
      </c>
      <c r="U130" s="25">
        <v>0</v>
      </c>
      <c r="V130" s="161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2">
        <f>(HearingAids[[#This Row],[haMSRP]]*2)+HearingAids[[#This Row],[chargerPrice]]</f>
        <v>11963</v>
      </c>
      <c r="D131" s="38">
        <v>5819</v>
      </c>
      <c r="E131" s="50" t="s">
        <v>537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8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49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0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4">
        <f>(HearingAids[[#This Row],[haMSRP]]*2)+HearingAids[[#This Row],[chargerPrice]]</f>
        <v>7703</v>
      </c>
      <c r="D132" s="38">
        <v>3689</v>
      </c>
      <c r="E132" s="50" t="s">
        <v>537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8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49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0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4">
        <f>(HearingAids[[#This Row],[haMSRP]]*2)+HearingAids[[#This Row],[chargerPrice]]</f>
        <v>9683</v>
      </c>
      <c r="D133" s="38">
        <v>4679</v>
      </c>
      <c r="E133" s="50" t="s">
        <v>537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8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49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0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4" t="s">
        <v>502</v>
      </c>
      <c r="C134" s="53">
        <f>(HearingAids[[#This Row],[haMSRP]]*2)+HearingAids[[#This Row],[chargerPrice]]</f>
        <v>11963</v>
      </c>
      <c r="D134" s="38">
        <v>5819</v>
      </c>
      <c r="E134" s="50" t="s">
        <v>537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8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49">
        <v>7600</v>
      </c>
      <c r="M134" s="46"/>
      <c r="N134" s="2"/>
      <c r="O134" s="55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1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4" t="s">
        <v>504</v>
      </c>
      <c r="C135" s="53">
        <f>(HearingAids[[#This Row],[haMSRP]]*2)+HearingAids[[#This Row],[chargerPrice]]</f>
        <v>7703</v>
      </c>
      <c r="D135" s="38">
        <v>3689</v>
      </c>
      <c r="E135" s="50" t="s">
        <v>537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8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49">
        <v>5080</v>
      </c>
      <c r="M135" s="46"/>
      <c r="N135" s="2"/>
      <c r="O135" s="55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1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4" t="s">
        <v>503</v>
      </c>
      <c r="C136" s="53">
        <f>(HearingAids[[#This Row],[haMSRP]]*2)+HearingAids[[#This Row],[chargerPrice]]</f>
        <v>9683</v>
      </c>
      <c r="D136" s="38">
        <v>4679</v>
      </c>
      <c r="E136" s="50" t="s">
        <v>537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8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49">
        <v>6600</v>
      </c>
      <c r="M136" s="46"/>
      <c r="N136" s="2"/>
      <c r="O136" s="55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1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0" t="s">
        <v>620</v>
      </c>
      <c r="B137" s="141" t="s">
        <v>625</v>
      </c>
      <c r="C137" s="54">
        <f>(HearingAids[[#This Row],[haMSRP]]*2)+HearingAids[[#This Row],[chargerPrice]]</f>
        <v>11863</v>
      </c>
      <c r="D137" s="114">
        <v>5819</v>
      </c>
      <c r="E137" s="114" t="s">
        <v>537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8">
        <v>9450</v>
      </c>
      <c r="I137" s="120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49">
        <v>7600</v>
      </c>
      <c r="M137" s="91"/>
      <c r="N137" s="2"/>
      <c r="O137" s="120"/>
      <c r="P137" s="114"/>
      <c r="Q137" s="127">
        <v>1</v>
      </c>
      <c r="R137" s="106" t="s">
        <v>9</v>
      </c>
      <c r="S137" s="22">
        <v>225</v>
      </c>
      <c r="T137" s="135" t="s">
        <v>14</v>
      </c>
      <c r="U137" s="135">
        <v>0</v>
      </c>
      <c r="V137" s="13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0" t="s">
        <v>621</v>
      </c>
      <c r="B138" s="141" t="s">
        <v>626</v>
      </c>
      <c r="C138" s="54">
        <f>(HearingAids[[#This Row],[haMSRP]]*2)+HearingAids[[#This Row],[chargerPrice]]</f>
        <v>7603</v>
      </c>
      <c r="D138" s="114">
        <v>3689</v>
      </c>
      <c r="E138" s="114" t="s">
        <v>537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8">
        <v>7050</v>
      </c>
      <c r="I138" s="120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49">
        <v>5800</v>
      </c>
      <c r="M138" s="91"/>
      <c r="N138" s="2"/>
      <c r="O138" s="120"/>
      <c r="P138" s="114"/>
      <c r="Q138" s="127">
        <v>1</v>
      </c>
      <c r="R138" s="106" t="s">
        <v>9</v>
      </c>
      <c r="S138" s="22">
        <v>225</v>
      </c>
      <c r="T138" s="135" t="s">
        <v>14</v>
      </c>
      <c r="U138" s="135">
        <v>0</v>
      </c>
      <c r="V138" s="135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89" t="s">
        <v>622</v>
      </c>
      <c r="B139" s="141" t="s">
        <v>627</v>
      </c>
      <c r="C139" s="54">
        <f>(HearingAids[[#This Row],[haMSRP]]*2)+HearingAids[[#This Row],[chargerPrice]]</f>
        <v>9583</v>
      </c>
      <c r="D139" s="90">
        <v>4679</v>
      </c>
      <c r="E139" s="90" t="s">
        <v>537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8">
        <v>8350</v>
      </c>
      <c r="I139" s="91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49">
        <v>6600</v>
      </c>
      <c r="M139" s="91"/>
      <c r="N139" s="114"/>
      <c r="O139" s="91"/>
      <c r="P139" s="90"/>
      <c r="Q139" s="92">
        <v>1</v>
      </c>
      <c r="R139" s="107" t="s">
        <v>9</v>
      </c>
      <c r="S139" s="22">
        <v>225</v>
      </c>
      <c r="T139" s="93" t="s">
        <v>14</v>
      </c>
      <c r="U139" s="93">
        <v>0</v>
      </c>
      <c r="V139" s="163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3" t="s">
        <v>500</v>
      </c>
      <c r="B140" s="45" t="s">
        <v>506</v>
      </c>
      <c r="C140" s="51">
        <f>(HearingAids[[#This Row],[haMSRP]]*2)+HearingAids[[#This Row],[chargerPrice]]</f>
        <v>4903</v>
      </c>
      <c r="D140" s="115">
        <v>2339</v>
      </c>
      <c r="E140" s="118" t="s">
        <v>537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99">
        <v>3500</v>
      </c>
      <c r="I140" s="121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0">
        <v>3390</v>
      </c>
      <c r="M140" s="63"/>
      <c r="N140" s="2"/>
      <c r="O140" s="63"/>
      <c r="P140" s="126"/>
      <c r="Q140" s="128">
        <v>1</v>
      </c>
      <c r="R140" s="133" t="s">
        <v>9</v>
      </c>
      <c r="S140" s="22">
        <v>225</v>
      </c>
      <c r="T140" s="138" t="s">
        <v>26</v>
      </c>
      <c r="U140" s="140">
        <v>0</v>
      </c>
      <c r="V140" s="164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1" t="s">
        <v>413</v>
      </c>
      <c r="B141" s="36" t="s">
        <v>416</v>
      </c>
      <c r="C141" s="52">
        <f>(HearingAids[[#This Row],[haMSRP]]*2)+HearingAids[[#This Row],[chargerPrice]]</f>
        <v>11963</v>
      </c>
      <c r="D141" s="115">
        <v>5819</v>
      </c>
      <c r="E141" s="118" t="s">
        <v>537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8">
        <v>9450</v>
      </c>
      <c r="I141" s="121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49">
        <v>6690</v>
      </c>
      <c r="M141" s="63"/>
      <c r="N141" s="2"/>
      <c r="O141" s="63"/>
      <c r="P141" s="63"/>
      <c r="Q141" s="128">
        <v>1</v>
      </c>
      <c r="R141" s="63" t="s">
        <v>13</v>
      </c>
      <c r="S141" s="39">
        <v>325</v>
      </c>
      <c r="T141" s="136" t="s">
        <v>14</v>
      </c>
      <c r="U141" s="63">
        <v>0</v>
      </c>
      <c r="V141" s="164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1" t="s">
        <v>414</v>
      </c>
      <c r="B142" s="3" t="s">
        <v>417</v>
      </c>
      <c r="C142" s="54">
        <f>(HearingAids[[#This Row],[haMSRP]]*2)+HearingAids[[#This Row],[chargerPrice]]</f>
        <v>7703</v>
      </c>
      <c r="D142" s="115">
        <v>3689</v>
      </c>
      <c r="E142" s="118" t="s">
        <v>537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8">
        <v>7050</v>
      </c>
      <c r="I142" s="121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49">
        <v>4890</v>
      </c>
      <c r="M142" s="63"/>
      <c r="N142" s="2"/>
      <c r="O142" s="63"/>
      <c r="P142" s="63"/>
      <c r="Q142" s="128">
        <v>1</v>
      </c>
      <c r="R142" s="63" t="s">
        <v>13</v>
      </c>
      <c r="S142" s="39">
        <v>325</v>
      </c>
      <c r="T142" s="136" t="s">
        <v>14</v>
      </c>
      <c r="U142" s="63">
        <v>0</v>
      </c>
      <c r="V142" s="164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1" t="s">
        <v>415</v>
      </c>
      <c r="B143" s="3" t="s">
        <v>418</v>
      </c>
      <c r="C143" s="54">
        <f>(HearingAids[[#This Row],[haMSRP]]*2)+HearingAids[[#This Row],[chargerPrice]]</f>
        <v>9683</v>
      </c>
      <c r="D143" s="115">
        <v>4679</v>
      </c>
      <c r="E143" s="118" t="s">
        <v>537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8">
        <v>7350</v>
      </c>
      <c r="I143" s="121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49">
        <v>5690</v>
      </c>
      <c r="M143" s="63"/>
      <c r="N143" s="2"/>
      <c r="O143" s="63"/>
      <c r="P143" s="63"/>
      <c r="Q143" s="128">
        <v>1</v>
      </c>
      <c r="R143" s="63" t="s">
        <v>13</v>
      </c>
      <c r="S143" s="39">
        <v>325</v>
      </c>
      <c r="T143" s="136" t="s">
        <v>14</v>
      </c>
      <c r="U143" s="63">
        <v>0</v>
      </c>
      <c r="V143" s="164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3" t="s">
        <v>500</v>
      </c>
      <c r="B144" s="45" t="s">
        <v>506</v>
      </c>
      <c r="C144" s="51">
        <f>(HearingAids[[#This Row],[haMSRP]]*2)+HearingAids[[#This Row],[chargerPrice]]</f>
        <v>4903</v>
      </c>
      <c r="D144" s="115">
        <v>2339</v>
      </c>
      <c r="E144" s="118" t="s">
        <v>537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99">
        <v>3500</v>
      </c>
      <c r="I144" s="123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0">
        <v>3390</v>
      </c>
      <c r="M144" s="63"/>
      <c r="N144" s="2"/>
      <c r="O144" s="63"/>
      <c r="P144" s="126"/>
      <c r="Q144" s="131">
        <v>1</v>
      </c>
      <c r="R144" s="134" t="s">
        <v>9</v>
      </c>
      <c r="S144" s="22">
        <v>225</v>
      </c>
      <c r="T144" s="139" t="s">
        <v>26</v>
      </c>
      <c r="U144" s="33">
        <v>0</v>
      </c>
      <c r="V144" s="165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1" t="s">
        <v>413</v>
      </c>
      <c r="B145" s="36" t="s">
        <v>416</v>
      </c>
      <c r="C145" s="52">
        <f>(HearingAids[[#This Row],[haMSRP]]*2)+HearingAids[[#This Row],[chargerPrice]]</f>
        <v>11963</v>
      </c>
      <c r="D145" s="115">
        <v>5819</v>
      </c>
      <c r="E145" s="118" t="s">
        <v>537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8">
        <v>9450</v>
      </c>
      <c r="I145" s="123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49">
        <v>6690</v>
      </c>
      <c r="M145" s="63"/>
      <c r="N145" s="2"/>
      <c r="O145" s="63"/>
      <c r="P145" s="63"/>
      <c r="Q145" s="128">
        <v>1</v>
      </c>
      <c r="R145" s="63" t="s">
        <v>13</v>
      </c>
      <c r="S145" s="39">
        <v>325</v>
      </c>
      <c r="T145" s="136" t="s">
        <v>14</v>
      </c>
      <c r="U145" s="63">
        <v>0</v>
      </c>
      <c r="V145" s="164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1" t="s">
        <v>414</v>
      </c>
      <c r="B146" s="3" t="s">
        <v>417</v>
      </c>
      <c r="C146" s="54">
        <f>(HearingAids[[#This Row],[haMSRP]]*2)+HearingAids[[#This Row],[chargerPrice]]</f>
        <v>7703</v>
      </c>
      <c r="D146" s="115">
        <v>3689</v>
      </c>
      <c r="E146" s="118" t="s">
        <v>537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8">
        <v>7050</v>
      </c>
      <c r="I146" s="123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49">
        <v>4890</v>
      </c>
      <c r="M146" s="63"/>
      <c r="N146" s="2"/>
      <c r="O146" s="63"/>
      <c r="P146" s="63"/>
      <c r="Q146" s="128">
        <v>1</v>
      </c>
      <c r="R146" s="63" t="s">
        <v>13</v>
      </c>
      <c r="S146" s="39">
        <v>325</v>
      </c>
      <c r="T146" s="136" t="s">
        <v>14</v>
      </c>
      <c r="U146" s="63">
        <v>0</v>
      </c>
      <c r="V146" s="164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1" t="s">
        <v>415</v>
      </c>
      <c r="B147" s="3" t="s">
        <v>418</v>
      </c>
      <c r="C147" s="54">
        <f>(HearingAids[[#This Row],[haMSRP]]*2)+HearingAids[[#This Row],[chargerPrice]]</f>
        <v>9683</v>
      </c>
      <c r="D147" s="115">
        <v>4679</v>
      </c>
      <c r="E147" s="118" t="s">
        <v>537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8">
        <v>8350</v>
      </c>
      <c r="I147" s="123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49">
        <v>5690</v>
      </c>
      <c r="M147" s="63"/>
      <c r="N147" s="2"/>
      <c r="O147" s="63"/>
      <c r="P147" s="63"/>
      <c r="Q147" s="128">
        <v>1</v>
      </c>
      <c r="R147" s="63" t="s">
        <v>13</v>
      </c>
      <c r="S147" s="39">
        <v>325</v>
      </c>
      <c r="T147" s="136" t="s">
        <v>14</v>
      </c>
      <c r="U147" s="63">
        <v>0</v>
      </c>
      <c r="V147" s="164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2" t="s">
        <v>500</v>
      </c>
      <c r="B148" s="3" t="s">
        <v>506</v>
      </c>
      <c r="C148" s="94">
        <f>(HearingAids[[#This Row],[haMSRP]]*2)+HearingAids[[#This Row],[chargerPrice]]</f>
        <v>4903</v>
      </c>
      <c r="D148" s="116">
        <v>2339</v>
      </c>
      <c r="E148" s="116" t="s">
        <v>537</v>
      </c>
      <c r="F148" s="95">
        <f>HearingAids[[#This Row],[haMSRP]]-((HearingAids[[#This Row],[ListPriceBinural]]-HearingAids[[#This Row],[chargerPrice]])/2)</f>
        <v>701.5</v>
      </c>
      <c r="G148" s="95">
        <f>HearingAids[[#This Row],[haMSRP]]-HearingAids[[#This Row],[Discount Amount 1]]</f>
        <v>1637.5</v>
      </c>
      <c r="H148" s="100">
        <v>3500</v>
      </c>
      <c r="I148" s="122" t="s">
        <v>616</v>
      </c>
      <c r="J148" s="96">
        <f>(HearingAids[[#This Row],[haMSRP]]-HearingAids[[#This Row],[Discount Amount 1]])-(HearingAids[[#This Row],[haNetPriceBinural]]-HearingAids[[#This Row],[chargerPrice]])/2</f>
        <v>55</v>
      </c>
      <c r="K148" s="96">
        <f>HearingAids[[#This Row],[HAListPrice]]-HearingAids[[#This Row],[Discount Amount 2]]</f>
        <v>1582.5</v>
      </c>
      <c r="L148" s="151">
        <v>3390</v>
      </c>
      <c r="M148" s="116"/>
      <c r="N148" s="96"/>
      <c r="O148" s="116"/>
      <c r="P148" s="116"/>
      <c r="Q148" s="129">
        <v>1</v>
      </c>
      <c r="R148" s="132" t="s">
        <v>9</v>
      </c>
      <c r="S148" s="22">
        <v>225</v>
      </c>
      <c r="T148" s="137" t="s">
        <v>26</v>
      </c>
      <c r="U148" s="137">
        <v>0</v>
      </c>
      <c r="V148" s="166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2" t="s">
        <v>413</v>
      </c>
      <c r="B149" s="3" t="s">
        <v>416</v>
      </c>
      <c r="C149" s="94">
        <f>(HearingAids[[#This Row],[haMSRP]]*2)+HearingAids[[#This Row],[chargerPrice]]</f>
        <v>11963</v>
      </c>
      <c r="D149" s="116">
        <v>5819</v>
      </c>
      <c r="E149" s="116" t="s">
        <v>537</v>
      </c>
      <c r="F149" s="95">
        <f>HearingAids[[#This Row],[haMSRP]]-((HearingAids[[#This Row],[ListPriceBinural]]-HearingAids[[#This Row],[chargerPrice]])/2)</f>
        <v>1256.5</v>
      </c>
      <c r="G149" s="95">
        <f>HearingAids[[#This Row],[haMSRP]]-HearingAids[[#This Row],[Discount Amount 1]]</f>
        <v>4562.5</v>
      </c>
      <c r="H149" s="101">
        <v>9450</v>
      </c>
      <c r="I149" s="122" t="s">
        <v>616</v>
      </c>
      <c r="J149" s="96">
        <f>(HearingAids[[#This Row],[haMSRP]]-HearingAids[[#This Row],[Discount Amount 1]])-(HearingAids[[#This Row],[haNetPriceBinural]]-HearingAids[[#This Row],[chargerPrice]])/2</f>
        <v>1380</v>
      </c>
      <c r="K149" s="96">
        <f>HearingAids[[#This Row],[HAListPrice]]-HearingAids[[#This Row],[Discount Amount 2]]</f>
        <v>3182.5</v>
      </c>
      <c r="L149" s="152">
        <v>6690</v>
      </c>
      <c r="M149" s="116"/>
      <c r="N149" s="96"/>
      <c r="O149" s="116"/>
      <c r="P149" s="116"/>
      <c r="Q149" s="129">
        <v>1</v>
      </c>
      <c r="R149" s="129" t="s">
        <v>13</v>
      </c>
      <c r="S149" s="39">
        <v>325</v>
      </c>
      <c r="T149" s="137" t="s">
        <v>14</v>
      </c>
      <c r="U149" s="137">
        <v>0</v>
      </c>
      <c r="V149" s="166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2" t="s">
        <v>414</v>
      </c>
      <c r="B150" s="3" t="s">
        <v>417</v>
      </c>
      <c r="C150" s="94">
        <f>(HearingAids[[#This Row],[haMSRP]]*2)+HearingAids[[#This Row],[chargerPrice]]</f>
        <v>7703</v>
      </c>
      <c r="D150" s="116">
        <v>3689</v>
      </c>
      <c r="E150" s="116" t="s">
        <v>537</v>
      </c>
      <c r="F150" s="95">
        <f>HearingAids[[#This Row],[haMSRP]]-((HearingAids[[#This Row],[ListPriceBinural]]-HearingAids[[#This Row],[chargerPrice]])/2)</f>
        <v>326.5</v>
      </c>
      <c r="G150" s="95">
        <f>HearingAids[[#This Row],[haMSRP]]-HearingAids[[#This Row],[Discount Amount 1]]</f>
        <v>3362.5</v>
      </c>
      <c r="H150" s="101">
        <v>7050</v>
      </c>
      <c r="I150" s="122" t="s">
        <v>616</v>
      </c>
      <c r="J150" s="96">
        <f>(HearingAids[[#This Row],[haMSRP]]-HearingAids[[#This Row],[Discount Amount 1]])-(HearingAids[[#This Row],[haNetPriceBinural]]-HearingAids[[#This Row],[chargerPrice]])/2</f>
        <v>1080</v>
      </c>
      <c r="K150" s="96">
        <f>HearingAids[[#This Row],[HAListPrice]]-HearingAids[[#This Row],[Discount Amount 2]]</f>
        <v>2282.5</v>
      </c>
      <c r="L150" s="152">
        <v>4890</v>
      </c>
      <c r="M150" s="116"/>
      <c r="N150" s="96"/>
      <c r="O150" s="116"/>
      <c r="P150" s="116"/>
      <c r="Q150" s="129">
        <v>1</v>
      </c>
      <c r="R150" s="129" t="s">
        <v>13</v>
      </c>
      <c r="S150" s="39">
        <v>325</v>
      </c>
      <c r="T150" s="137" t="s">
        <v>14</v>
      </c>
      <c r="U150" s="137">
        <v>0</v>
      </c>
      <c r="V150" s="166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2" t="s">
        <v>415</v>
      </c>
      <c r="B151" s="3" t="s">
        <v>418</v>
      </c>
      <c r="C151" s="94">
        <f>(HearingAids[[#This Row],[haMSRP]]*2)+HearingAids[[#This Row],[chargerPrice]]</f>
        <v>9683</v>
      </c>
      <c r="D151" s="116">
        <v>4679</v>
      </c>
      <c r="E151" s="116" t="s">
        <v>537</v>
      </c>
      <c r="F151" s="95">
        <f>HearingAids[[#This Row],[haMSRP]]-((HearingAids[[#This Row],[ListPriceBinural]]-HearingAids[[#This Row],[chargerPrice]])/2)</f>
        <v>666.5</v>
      </c>
      <c r="G151" s="95">
        <f>HearingAids[[#This Row],[haMSRP]]-HearingAids[[#This Row],[Discount Amount 1]]</f>
        <v>4012.5</v>
      </c>
      <c r="H151" s="101">
        <v>8350</v>
      </c>
      <c r="I151" s="122" t="s">
        <v>616</v>
      </c>
      <c r="J151" s="96">
        <f>(HearingAids[[#This Row],[haMSRP]]-HearingAids[[#This Row],[Discount Amount 1]])-(HearingAids[[#This Row],[haNetPriceBinural]]-HearingAids[[#This Row],[chargerPrice]])/2</f>
        <v>1330</v>
      </c>
      <c r="K151" s="96">
        <f>HearingAids[[#This Row],[HAListPrice]]-HearingAids[[#This Row],[Discount Amount 2]]</f>
        <v>2682.5</v>
      </c>
      <c r="L151" s="152">
        <v>5690</v>
      </c>
      <c r="M151" s="116"/>
      <c r="N151" s="96"/>
      <c r="O151" s="116"/>
      <c r="P151" s="116"/>
      <c r="Q151" s="129">
        <v>1</v>
      </c>
      <c r="R151" s="129" t="s">
        <v>13</v>
      </c>
      <c r="S151" s="39">
        <v>325</v>
      </c>
      <c r="T151" s="137" t="s">
        <v>14</v>
      </c>
      <c r="U151" s="137">
        <v>0</v>
      </c>
      <c r="V151" s="166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3" t="s">
        <v>500</v>
      </c>
      <c r="B152" s="45" t="s">
        <v>506</v>
      </c>
      <c r="C152" s="51">
        <f>(HearingAids[[#This Row],[haMSRP]]*2)+HearingAids[[#This Row],[chargerPrice]]</f>
        <v>4903</v>
      </c>
      <c r="D152" s="117">
        <v>2339</v>
      </c>
      <c r="E152" s="119" t="s">
        <v>537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99">
        <v>3500</v>
      </c>
      <c r="I152" s="124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0">
        <v>3390</v>
      </c>
      <c r="M152" s="125"/>
      <c r="N152" s="125"/>
      <c r="O152" s="125"/>
      <c r="P152" s="155"/>
      <c r="Q152" s="130">
        <v>1</v>
      </c>
      <c r="R152" s="156" t="s">
        <v>9</v>
      </c>
      <c r="S152" s="22">
        <v>225</v>
      </c>
      <c r="T152" s="157" t="s">
        <v>26</v>
      </c>
      <c r="U152" s="158">
        <v>0</v>
      </c>
      <c r="V152" s="167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2">
        <f>(HearingAids[[#This Row],[haMSRP]]*2)+HearingAids[[#This Row],[chargerPrice]]</f>
        <v>11963</v>
      </c>
      <c r="D153" s="39">
        <v>5819</v>
      </c>
      <c r="E153" s="154" t="s">
        <v>537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8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49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8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4">
        <f>(HearingAids[[#This Row],[haMSRP]]*2)+HearingAids[[#This Row],[chargerPrice]]</f>
        <v>7703</v>
      </c>
      <c r="D154" s="39">
        <v>3689</v>
      </c>
      <c r="E154" s="154" t="s">
        <v>537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8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49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8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4">
        <f>(HearingAids[[#This Row],[haMSRP]]*2)+HearingAids[[#This Row],[chargerPrice]]</f>
        <v>9683</v>
      </c>
      <c r="D155" s="39">
        <v>4679</v>
      </c>
      <c r="E155" s="154" t="s">
        <v>537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8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49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8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5" t="s">
        <v>506</v>
      </c>
      <c r="C156" s="51">
        <f>(HearingAids[[#This Row],[haMSRP]]*2)+HearingAids[[#This Row],[chargerPrice]]</f>
        <v>4903</v>
      </c>
      <c r="D156" s="38">
        <v>2339</v>
      </c>
      <c r="E156" s="50" t="s">
        <v>537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99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0">
        <v>3390</v>
      </c>
      <c r="M156" s="2"/>
      <c r="N156" s="2"/>
      <c r="O156" s="2"/>
      <c r="P156" s="22"/>
      <c r="Q156" s="23">
        <v>1</v>
      </c>
      <c r="R156" s="104" t="s">
        <v>9</v>
      </c>
      <c r="S156" s="22">
        <v>225</v>
      </c>
      <c r="T156" s="24" t="s">
        <v>26</v>
      </c>
      <c r="U156" s="25">
        <v>0</v>
      </c>
      <c r="V156" s="161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2">
        <f>(HearingAids[[#This Row],[haMSRP]]*2)+HearingAids[[#This Row],[chargerPrice]]</f>
        <v>11963</v>
      </c>
      <c r="D157" s="38">
        <v>5819</v>
      </c>
      <c r="E157" s="50" t="s">
        <v>537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8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49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0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4">
        <f>(HearingAids[[#This Row],[haMSRP]]*2)+HearingAids[[#This Row],[chargerPrice]]</f>
        <v>7703</v>
      </c>
      <c r="D158" s="38">
        <v>3689</v>
      </c>
      <c r="E158" s="50" t="s">
        <v>537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8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49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0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4">
        <f>(HearingAids[[#This Row],[haMSRP]]*2)+HearingAids[[#This Row],[chargerPrice]]</f>
        <v>9683</v>
      </c>
      <c r="D159" s="38">
        <v>4679</v>
      </c>
      <c r="E159" s="50" t="s">
        <v>537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8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49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0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141" t="s">
        <v>628</v>
      </c>
      <c r="B160" s="141" t="s">
        <v>632</v>
      </c>
      <c r="C160" s="54">
        <f>(HearingAids[[#This Row],[haMSRP]]*2)+HearingAids[[#This Row],[chargerPrice]]</f>
        <v>6043</v>
      </c>
      <c r="D160" s="142">
        <v>2909</v>
      </c>
      <c r="E160" s="50" t="s">
        <v>537</v>
      </c>
      <c r="F160" s="143">
        <f>HearingAids[[#This Row],[haMSRP]]-((HearingAids[[#This Row],[ListPriceBinural]]-HearingAids[[#This Row],[chargerPrice]])/2)</f>
        <v>-112.5</v>
      </c>
      <c r="G160" s="38">
        <f>HearingAids[[#This Row],[haMSRP]]-HearingAids[[#This Row],[Discount Amount 1]]</f>
        <v>3021.5</v>
      </c>
      <c r="H160" s="100">
        <v>6268</v>
      </c>
      <c r="I160" s="144" t="s">
        <v>636</v>
      </c>
      <c r="J160" s="143">
        <f>(HearingAids[[#This Row],[haMSRP]]-HearingAids[[#This Row],[Discount Amount 1]])-(HearingAids[[#This Row],[haNetPriceBinural]]-HearingAids[[#This Row],[chargerPrice]])/2</f>
        <v>1935</v>
      </c>
      <c r="K160" s="143">
        <f>HearingAids[[#This Row],[HAListPrice]]-HearingAids[[#This Row],[Discount Amount 2]]</f>
        <v>1086.5</v>
      </c>
      <c r="L160" s="151">
        <f>1199*2</f>
        <v>2398</v>
      </c>
      <c r="M160" s="145"/>
      <c r="N160" s="145">
        <f>((HearingAids[[#This Row],[haNetPriceBinural]]-HearingAids[[#This Row],[chargerPrice]])/2)-HearingAids[[#This Row],[haNetPriceBinural2]]</f>
        <v>1086.5</v>
      </c>
      <c r="O160" s="145">
        <f>HearingAids[[#This Row],[haNetPrice]]-HearingAids[[#This Row],[Discount Amount 3]]</f>
        <v>0</v>
      </c>
      <c r="P160" s="143"/>
      <c r="Q160" s="15">
        <v>1</v>
      </c>
      <c r="R160" s="156" t="s">
        <v>9</v>
      </c>
      <c r="S160" s="22">
        <v>225</v>
      </c>
      <c r="T160" s="24" t="s">
        <v>26</v>
      </c>
      <c r="U160" s="2">
        <v>0</v>
      </c>
      <c r="V160" s="160" t="s">
        <v>11</v>
      </c>
      <c r="X160" s="2"/>
      <c r="Y160" s="2"/>
      <c r="Z160" s="2"/>
      <c r="AA160" s="2"/>
      <c r="AB160" s="2"/>
      <c r="AC160" s="2"/>
      <c r="AD160" s="2"/>
    </row>
    <row r="161" spans="1:30" ht="12.75">
      <c r="A161" s="141" t="s">
        <v>629</v>
      </c>
      <c r="B161" s="141" t="s">
        <v>633</v>
      </c>
      <c r="C161" s="54">
        <f>(HearingAids[[#This Row],[haMSRP]]*2)+HearingAids[[#This Row],[chargerPrice]]</f>
        <v>7463</v>
      </c>
      <c r="D161" s="142">
        <v>3569</v>
      </c>
      <c r="E161" s="50" t="s">
        <v>537</v>
      </c>
      <c r="F161" s="143">
        <f>HearingAids[[#This Row],[haMSRP]]-((HearingAids[[#This Row],[ListPriceBinural]]-HearingAids[[#This Row],[chargerPrice]])/2)</f>
        <v>-162.5</v>
      </c>
      <c r="G161" s="38">
        <f>HearingAids[[#This Row],[haMSRP]]-HearingAids[[#This Row],[Discount Amount 1]]</f>
        <v>3731.5</v>
      </c>
      <c r="H161" s="100">
        <v>7788</v>
      </c>
      <c r="I161" s="144" t="s">
        <v>636</v>
      </c>
      <c r="J161" s="143">
        <f>(HearingAids[[#This Row],[haMSRP]]-HearingAids[[#This Row],[Discount Amount 1]])-(HearingAids[[#This Row],[haNetPriceBinural]]-HearingAids[[#This Row],[chargerPrice]])/2</f>
        <v>2095</v>
      </c>
      <c r="K161" s="143">
        <f>HearingAids[[#This Row],[HAListPrice]]-HearingAids[[#This Row],[Discount Amount 2]]</f>
        <v>1636.5</v>
      </c>
      <c r="L161" s="151">
        <f>1799*2</f>
        <v>3598</v>
      </c>
      <c r="M161" s="145"/>
      <c r="N161" s="145">
        <f>((HearingAids[[#This Row],[haNetPriceBinural]]-HearingAids[[#This Row],[chargerPrice]])/2)-HearingAids[[#This Row],[haNetPriceBinural2]]</f>
        <v>1636.5</v>
      </c>
      <c r="O161" s="145">
        <f>HearingAids[[#This Row],[haNetPrice]]-HearingAids[[#This Row],[Discount Amount 3]]</f>
        <v>0</v>
      </c>
      <c r="P161" s="143"/>
      <c r="Q161" s="15">
        <v>1</v>
      </c>
      <c r="R161" s="2" t="s">
        <v>13</v>
      </c>
      <c r="S161" s="39">
        <v>325</v>
      </c>
      <c r="T161" s="11" t="s">
        <v>14</v>
      </c>
      <c r="U161" s="2">
        <v>0</v>
      </c>
      <c r="V161" s="160" t="s">
        <v>11</v>
      </c>
      <c r="X161" s="2"/>
      <c r="Y161" s="2"/>
      <c r="Z161" s="2"/>
      <c r="AA161" s="2"/>
      <c r="AB161" s="2"/>
      <c r="AC161" s="2"/>
      <c r="AD161" s="8"/>
    </row>
    <row r="162" spans="1:30" ht="12.75">
      <c r="A162" s="141" t="s">
        <v>630</v>
      </c>
      <c r="B162" s="141" t="s">
        <v>634</v>
      </c>
      <c r="C162" s="54">
        <f>(HearingAids[[#This Row],[haMSRP]]*2)+HearingAids[[#This Row],[chargerPrice]]</f>
        <v>9323</v>
      </c>
      <c r="D162" s="142">
        <v>4499</v>
      </c>
      <c r="E162" s="50" t="s">
        <v>537</v>
      </c>
      <c r="F162" s="143">
        <f>HearingAids[[#This Row],[haMSRP]]-((HearingAids[[#This Row],[ListPriceBinural]]-HearingAids[[#This Row],[chargerPrice]])/2)</f>
        <v>-162.5</v>
      </c>
      <c r="G162" s="38">
        <f>HearingAids[[#This Row],[haMSRP]]-HearingAids[[#This Row],[Discount Amount 1]]</f>
        <v>4661.5</v>
      </c>
      <c r="H162" s="100">
        <v>9648</v>
      </c>
      <c r="I162" s="144" t="s">
        <v>636</v>
      </c>
      <c r="J162" s="143">
        <f>(HearingAids[[#This Row],[haMSRP]]-HearingAids[[#This Row],[Discount Amount 1]])-(HearingAids[[#This Row],[haNetPriceBinural]]-HearingAids[[#This Row],[chargerPrice]])/2</f>
        <v>2575</v>
      </c>
      <c r="K162" s="143">
        <f>HearingAids[[#This Row],[HAListPrice]]-HearingAids[[#This Row],[Discount Amount 2]]</f>
        <v>2086.5</v>
      </c>
      <c r="L162" s="151">
        <f>2249*2</f>
        <v>4498</v>
      </c>
      <c r="M162" s="145"/>
      <c r="N162" s="145">
        <f>((HearingAids[[#This Row],[haNetPriceBinural]]-HearingAids[[#This Row],[chargerPrice]])/2)-HearingAids[[#This Row],[haNetPriceBinural2]]</f>
        <v>2086.5</v>
      </c>
      <c r="O162" s="145">
        <f>HearingAids[[#This Row],[haNetPrice]]-HearingAids[[#This Row],[Discount Amount 3]]</f>
        <v>0</v>
      </c>
      <c r="P162" s="143"/>
      <c r="Q162" s="15">
        <v>1</v>
      </c>
      <c r="R162" s="2" t="s">
        <v>13</v>
      </c>
      <c r="S162" s="39">
        <v>325</v>
      </c>
      <c r="T162" s="11" t="s">
        <v>14</v>
      </c>
      <c r="U162" s="2">
        <v>0</v>
      </c>
      <c r="V162" s="160" t="s">
        <v>11</v>
      </c>
      <c r="X162" s="2"/>
      <c r="Y162" s="2"/>
      <c r="Z162" s="2"/>
      <c r="AA162" s="2"/>
      <c r="AB162" s="2"/>
      <c r="AC162" s="2"/>
      <c r="AD162" s="8"/>
    </row>
    <row r="163" spans="1:30" ht="12.75">
      <c r="A163" s="141" t="s">
        <v>631</v>
      </c>
      <c r="B163" s="141" t="s">
        <v>635</v>
      </c>
      <c r="C163" s="54">
        <f>(HearingAids[[#This Row],[haMSRP]]*2)+HearingAids[[#This Row],[chargerPrice]]</f>
        <v>11483</v>
      </c>
      <c r="D163" s="142">
        <v>5579</v>
      </c>
      <c r="E163" s="50" t="s">
        <v>537</v>
      </c>
      <c r="F163" s="143">
        <f>HearingAids[[#This Row],[haMSRP]]-((HearingAids[[#This Row],[ListPriceBinural]]-HearingAids[[#This Row],[chargerPrice]])/2)</f>
        <v>-162.5</v>
      </c>
      <c r="G163" s="38">
        <f>HearingAids[[#This Row],[haMSRP]]-HearingAids[[#This Row],[Discount Amount 1]]</f>
        <v>5741.5</v>
      </c>
      <c r="H163" s="100">
        <v>11808</v>
      </c>
      <c r="I163" s="144" t="s">
        <v>636</v>
      </c>
      <c r="J163" s="143">
        <f>(HearingAids[[#This Row],[haMSRP]]-HearingAids[[#This Row],[Discount Amount 1]])-(HearingAids[[#This Row],[haNetPriceBinural]]-HearingAids[[#This Row],[chargerPrice]])/2</f>
        <v>3405</v>
      </c>
      <c r="K163" s="143">
        <f>HearingAids[[#This Row],[HAListPrice]]-HearingAids[[#This Row],[Discount Amount 2]]</f>
        <v>2336.5</v>
      </c>
      <c r="L163" s="151">
        <f>2499*2</f>
        <v>4998</v>
      </c>
      <c r="M163" s="145"/>
      <c r="N163" s="145">
        <f>((HearingAids[[#This Row],[haNetPriceBinural]]-HearingAids[[#This Row],[chargerPrice]])/2)-HearingAids[[#This Row],[haNetPriceBinural2]]</f>
        <v>2336.5</v>
      </c>
      <c r="O163" s="145">
        <f>HearingAids[[#This Row],[haNetPrice]]-HearingAids[[#This Row],[Discount Amount 3]]</f>
        <v>0</v>
      </c>
      <c r="P163" s="143"/>
      <c r="Q163" s="15">
        <v>1</v>
      </c>
      <c r="R163" s="2" t="s">
        <v>13</v>
      </c>
      <c r="S163" s="39">
        <v>325</v>
      </c>
      <c r="T163" s="11" t="s">
        <v>14</v>
      </c>
      <c r="U163" s="2">
        <v>0</v>
      </c>
      <c r="V163" s="160" t="s">
        <v>11</v>
      </c>
      <c r="X163" s="2"/>
      <c r="Y163" s="2"/>
      <c r="Z163" s="2"/>
      <c r="AA163" s="2"/>
      <c r="AB163" s="2"/>
      <c r="AC163" s="2"/>
      <c r="AD163" s="12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H167" s="21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H168" s="21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8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2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12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2"/>
      <c r="Y189" s="22"/>
      <c r="Z189" s="22"/>
      <c r="AA189" s="22"/>
      <c r="AB189" s="22"/>
      <c r="AD189" s="25"/>
    </row>
    <row r="190" spans="1:30" ht="12.75">
      <c r="A190" s="3"/>
      <c r="B190" s="3"/>
      <c r="C190" s="3"/>
      <c r="I190" s="8"/>
      <c r="J190" s="8"/>
      <c r="K190" s="8"/>
      <c r="M190" s="31"/>
      <c r="N190" s="2"/>
      <c r="O190" s="2"/>
      <c r="Q190" s="4"/>
      <c r="U190" s="2"/>
      <c r="X190" s="8"/>
      <c r="Y190" s="31"/>
      <c r="Z190" s="31"/>
      <c r="AA190" s="31"/>
      <c r="AB190" s="31"/>
      <c r="AC190" s="31"/>
      <c r="AD190" s="31"/>
    </row>
    <row r="191" spans="1:30" ht="12.75">
      <c r="A191" s="3"/>
      <c r="B191" s="3"/>
      <c r="C191" s="3"/>
      <c r="I191" s="8"/>
      <c r="J191" s="8"/>
      <c r="K191" s="8"/>
      <c r="M191" s="31"/>
      <c r="N191" s="2"/>
      <c r="O191" s="2"/>
      <c r="Q191" s="4"/>
      <c r="U191" s="2"/>
      <c r="X191" s="8"/>
      <c r="Y191" s="31"/>
      <c r="Z191" s="31"/>
      <c r="AA191" s="31"/>
      <c r="AB191" s="31"/>
      <c r="AC191" s="31"/>
      <c r="AD191" s="31"/>
    </row>
    <row r="192" spans="1:30" ht="12.75">
      <c r="A192" s="3"/>
      <c r="B192" s="3"/>
      <c r="C192" s="3"/>
      <c r="I192" s="22"/>
      <c r="J192" s="22"/>
      <c r="K192" s="22"/>
      <c r="M192" s="31"/>
      <c r="N192" s="22"/>
      <c r="O192" s="22"/>
      <c r="Q192" s="4"/>
      <c r="U192" s="22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M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M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</row>
    <row r="233" spans="1:30" ht="12.75">
      <c r="A233" s="29"/>
      <c r="B233" s="29"/>
      <c r="C233" s="29"/>
      <c r="I233" s="31"/>
      <c r="J233" s="31"/>
      <c r="K233" s="31"/>
      <c r="N233" s="31"/>
      <c r="O233" s="31"/>
      <c r="Q233" s="30"/>
      <c r="U233" s="31"/>
    </row>
    <row r="234" spans="1:30" ht="12.75">
      <c r="A234" s="29"/>
      <c r="B234" s="29"/>
      <c r="C234" s="29"/>
      <c r="I234" s="31"/>
      <c r="J234" s="31"/>
      <c r="K234" s="31"/>
      <c r="N234" s="31"/>
      <c r="O234" s="31"/>
      <c r="Q234" s="30"/>
      <c r="U234" s="31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554</v>
      </c>
      <c r="B223" s="13" t="str">
        <f t="shared" si="3"/>
        <v>(VOL-REC-MM-1)</v>
      </c>
      <c r="C223" s="47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537</v>
      </c>
      <c r="I223" s="17">
        <v>0</v>
      </c>
    </row>
    <row r="224" spans="1:9" ht="18.75" customHeight="1">
      <c r="A224" s="17" t="s">
        <v>555</v>
      </c>
      <c r="B224" s="13" t="str">
        <f t="shared" si="3"/>
        <v>(VOL-REC-MM-2)</v>
      </c>
      <c r="C224" s="47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537</v>
      </c>
      <c r="I224" s="17">
        <v>0</v>
      </c>
    </row>
    <row r="225" spans="1:9" ht="18.75" customHeight="1">
      <c r="A225" s="17" t="s">
        <v>556</v>
      </c>
      <c r="B225" s="13" t="str">
        <f t="shared" si="3"/>
        <v>(VOL-REC-MM-3)</v>
      </c>
      <c r="C225" s="47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537</v>
      </c>
      <c r="I225" s="17">
        <v>0</v>
      </c>
    </row>
    <row r="226" spans="1:9" ht="18.75" customHeight="1">
      <c r="A226" s="17" t="s">
        <v>557</v>
      </c>
      <c r="B226" s="13" t="str">
        <f t="shared" si="3"/>
        <v>(VOL-REC-MM-4)</v>
      </c>
      <c r="C226" s="47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537</v>
      </c>
      <c r="I226" s="17">
        <v>0</v>
      </c>
    </row>
    <row r="227" spans="1:9" ht="18.75" customHeight="1">
      <c r="A227" s="17" t="s">
        <v>558</v>
      </c>
      <c r="B227" s="13" t="str">
        <f t="shared" si="3"/>
        <v>(VOL-REC-SF3-HP0)</v>
      </c>
      <c r="C227" s="47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537</v>
      </c>
      <c r="I227" s="17">
        <v>0</v>
      </c>
    </row>
    <row r="228" spans="1:9" ht="18.75" customHeight="1">
      <c r="A228" s="17" t="s">
        <v>559</v>
      </c>
      <c r="B228" s="13" t="str">
        <f t="shared" si="3"/>
        <v>(VOL-REC-SF3-HP1)</v>
      </c>
      <c r="C228" s="47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537</v>
      </c>
      <c r="I228" s="17">
        <v>0</v>
      </c>
    </row>
    <row r="229" spans="1:9" ht="18.75" customHeight="1">
      <c r="A229" s="17" t="s">
        <v>560</v>
      </c>
      <c r="B229" s="13" t="str">
        <f t="shared" si="3"/>
        <v>(VOL-REC-SF3-HP2)</v>
      </c>
      <c r="C229" s="47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537</v>
      </c>
      <c r="I229" s="17">
        <v>0</v>
      </c>
    </row>
    <row r="230" spans="1:9" ht="18.75" customHeight="1">
      <c r="A230" s="17" t="s">
        <v>561</v>
      </c>
      <c r="B230" s="13" t="str">
        <f t="shared" si="3"/>
        <v>(VOL-REC-SF3-HP3)</v>
      </c>
      <c r="C230" s="47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537</v>
      </c>
      <c r="I230" s="17">
        <v>0</v>
      </c>
    </row>
    <row r="231" spans="1:9" ht="18.75" customHeight="1">
      <c r="A231" s="17" t="s">
        <v>562</v>
      </c>
      <c r="B231" s="13" t="str">
        <f t="shared" si="3"/>
        <v>(VOL-REC-SF3-HP4)</v>
      </c>
      <c r="C231" s="47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537</v>
      </c>
      <c r="I231" s="17">
        <v>0</v>
      </c>
    </row>
    <row r="232" spans="1:9" ht="18.75" customHeight="1">
      <c r="A232" s="17" t="s">
        <v>563</v>
      </c>
      <c r="B232" s="13" t="str">
        <f t="shared" si="3"/>
        <v>(VOL-REC-SF3-LP0)</v>
      </c>
      <c r="C232" s="47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537</v>
      </c>
      <c r="I232" s="17">
        <v>0</v>
      </c>
    </row>
    <row r="233" spans="1:9" ht="18.75" customHeight="1">
      <c r="A233" s="17" t="s">
        <v>564</v>
      </c>
      <c r="B233" s="13" t="str">
        <f t="shared" si="3"/>
        <v>(VOL-REC-SF3-LP1)</v>
      </c>
      <c r="C233" s="47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537</v>
      </c>
      <c r="I233" s="17">
        <v>0</v>
      </c>
    </row>
    <row r="234" spans="1:9" ht="18.75" customHeight="1">
      <c r="A234" s="17" t="s">
        <v>565</v>
      </c>
      <c r="B234" s="13" t="str">
        <f t="shared" si="3"/>
        <v>(VOL-REC-SF3-LP2)</v>
      </c>
      <c r="C234" s="47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537</v>
      </c>
      <c r="I234" s="17">
        <v>0</v>
      </c>
    </row>
    <row r="235" spans="1:9" ht="18.75" customHeight="1">
      <c r="A235" s="17" t="s">
        <v>566</v>
      </c>
      <c r="B235" s="13" t="str">
        <f t="shared" si="3"/>
        <v>(VOL-REC-SF3-LP3)</v>
      </c>
      <c r="C235" s="47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537</v>
      </c>
      <c r="I235" s="17">
        <v>0</v>
      </c>
    </row>
    <row r="236" spans="1:9" ht="18.75" customHeight="1">
      <c r="A236" s="17" t="s">
        <v>567</v>
      </c>
      <c r="B236" s="13" t="str">
        <f t="shared" si="3"/>
        <v>(VOL-REC-SF3-LP4)</v>
      </c>
      <c r="C236" s="47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537</v>
      </c>
      <c r="I236" s="17">
        <v>0</v>
      </c>
    </row>
    <row r="237" spans="1:9" ht="18.75" customHeight="1">
      <c r="A237" s="17" t="s">
        <v>568</v>
      </c>
      <c r="B237" s="13" t="str">
        <f t="shared" si="3"/>
        <v>(VOL-REC-SF3-MP0)</v>
      </c>
      <c r="C237" s="47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537</v>
      </c>
      <c r="I237" s="17">
        <v>0</v>
      </c>
    </row>
    <row r="238" spans="1:9" ht="18.75" customHeight="1">
      <c r="A238" s="17" t="s">
        <v>569</v>
      </c>
      <c r="B238" s="13" t="str">
        <f t="shared" si="3"/>
        <v>(VOL-REC-SF3-MP1)</v>
      </c>
      <c r="C238" s="47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537</v>
      </c>
      <c r="I238" s="17">
        <v>0</v>
      </c>
    </row>
    <row r="239" spans="1:9" ht="18.75" customHeight="1">
      <c r="A239" s="17" t="s">
        <v>570</v>
      </c>
      <c r="B239" s="13" t="str">
        <f t="shared" si="3"/>
        <v>(VOL-REC-SF3-MP2)</v>
      </c>
      <c r="C239" s="47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537</v>
      </c>
      <c r="I239" s="17">
        <v>0</v>
      </c>
    </row>
    <row r="240" spans="1:9" ht="18.75" customHeight="1">
      <c r="A240" s="17" t="s">
        <v>571</v>
      </c>
      <c r="B240" s="13" t="str">
        <f t="shared" si="3"/>
        <v>(VOL-REC-SF3-MP3)</v>
      </c>
      <c r="C240" s="47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537</v>
      </c>
      <c r="I240" s="17">
        <v>0</v>
      </c>
    </row>
    <row r="241" spans="1:9" ht="18.75" customHeight="1">
      <c r="A241" s="17" t="s">
        <v>572</v>
      </c>
      <c r="B241" s="13" t="str">
        <f t="shared" si="3"/>
        <v>(VOL-REC-SF3-MP4)</v>
      </c>
      <c r="C241" s="47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537</v>
      </c>
      <c r="I241" s="17">
        <v>0</v>
      </c>
    </row>
    <row r="242" spans="1:9" ht="18.75" customHeight="1">
      <c r="A242" s="17" t="s">
        <v>597</v>
      </c>
      <c r="B242" s="13" t="str">
        <f t="shared" ref="B242:B260" si="4">"("&amp;A242&amp;")"</f>
        <v>(MO-REC-MM-1)</v>
      </c>
      <c r="C242" s="47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538</v>
      </c>
      <c r="I242" s="17">
        <v>0</v>
      </c>
    </row>
    <row r="243" spans="1:9" ht="18.75" customHeight="1">
      <c r="A243" s="17" t="s">
        <v>598</v>
      </c>
      <c r="B243" s="13" t="str">
        <f t="shared" si="4"/>
        <v>(MO-REC-MM-2)</v>
      </c>
      <c r="C243" s="47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538</v>
      </c>
      <c r="I243" s="17">
        <v>0</v>
      </c>
    </row>
    <row r="244" spans="1:9" ht="18.75" customHeight="1">
      <c r="A244" s="17" t="s">
        <v>599</v>
      </c>
      <c r="B244" s="13" t="str">
        <f t="shared" si="4"/>
        <v>(MO-REC-MM-3)</v>
      </c>
      <c r="C244" s="47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538</v>
      </c>
      <c r="I244" s="17">
        <v>0</v>
      </c>
    </row>
    <row r="245" spans="1:9" ht="18.75" customHeight="1">
      <c r="A245" s="17" t="s">
        <v>600</v>
      </c>
      <c r="B245" s="13" t="str">
        <f t="shared" si="4"/>
        <v>(MO-REC-MM-4)</v>
      </c>
      <c r="C245" s="47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538</v>
      </c>
      <c r="I245" s="17">
        <v>0</v>
      </c>
    </row>
    <row r="246" spans="1:9" ht="18.75" customHeight="1">
      <c r="A246" s="17" t="s">
        <v>601</v>
      </c>
      <c r="B246" s="13" t="str">
        <f t="shared" si="4"/>
        <v>(MO-REC-SF3-HP0)</v>
      </c>
      <c r="C246" s="47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538</v>
      </c>
      <c r="I246" s="17">
        <v>0</v>
      </c>
    </row>
    <row r="247" spans="1:9" ht="18.75" customHeight="1">
      <c r="A247" s="17" t="s">
        <v>602</v>
      </c>
      <c r="B247" s="13" t="str">
        <f t="shared" si="4"/>
        <v>(MO-REC-SF3-HP1)</v>
      </c>
      <c r="C247" s="47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538</v>
      </c>
      <c r="I247" s="17">
        <v>0</v>
      </c>
    </row>
    <row r="248" spans="1:9" ht="18.75" customHeight="1">
      <c r="A248" s="17" t="s">
        <v>603</v>
      </c>
      <c r="B248" s="13" t="str">
        <f t="shared" si="4"/>
        <v>(MO-REC-SF3-HP2)</v>
      </c>
      <c r="C248" s="47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538</v>
      </c>
      <c r="I248" s="17">
        <v>0</v>
      </c>
    </row>
    <row r="249" spans="1:9" ht="18.75" customHeight="1">
      <c r="A249" s="17" t="s">
        <v>604</v>
      </c>
      <c r="B249" s="13" t="str">
        <f t="shared" si="4"/>
        <v>(MO-REC-SF3-HP3)</v>
      </c>
      <c r="C249" s="47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538</v>
      </c>
      <c r="I249" s="17">
        <v>0</v>
      </c>
    </row>
    <row r="250" spans="1:9" ht="18.75" customHeight="1">
      <c r="A250" s="17" t="s">
        <v>605</v>
      </c>
      <c r="B250" s="13" t="str">
        <f t="shared" si="4"/>
        <v>(MO-REC-SF3-HP4)</v>
      </c>
      <c r="C250" s="47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538</v>
      </c>
      <c r="I250" s="17">
        <v>0</v>
      </c>
    </row>
    <row r="251" spans="1:9" ht="18.75" customHeight="1">
      <c r="A251" s="17" t="s">
        <v>606</v>
      </c>
      <c r="B251" s="13" t="str">
        <f t="shared" si="4"/>
        <v>(MO-REC-SF3-LP0)</v>
      </c>
      <c r="C251" s="47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538</v>
      </c>
      <c r="I251" s="17">
        <v>0</v>
      </c>
    </row>
    <row r="252" spans="1:9" ht="18.75" customHeight="1">
      <c r="A252" s="17" t="s">
        <v>607</v>
      </c>
      <c r="B252" s="13" t="str">
        <f t="shared" si="4"/>
        <v>(MO-REC-SF3-LP1)</v>
      </c>
      <c r="C252" s="47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538</v>
      </c>
      <c r="I252" s="17">
        <v>0</v>
      </c>
    </row>
    <row r="253" spans="1:9" ht="18.75" customHeight="1">
      <c r="A253" s="17" t="s">
        <v>608</v>
      </c>
      <c r="B253" s="13" t="str">
        <f t="shared" si="4"/>
        <v>(MO-REC-SF3-LP2)</v>
      </c>
      <c r="C253" s="47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538</v>
      </c>
      <c r="I253" s="17">
        <v>0</v>
      </c>
    </row>
    <row r="254" spans="1:9" ht="18.75" customHeight="1">
      <c r="A254" s="17" t="s">
        <v>609</v>
      </c>
      <c r="B254" s="13" t="str">
        <f t="shared" si="4"/>
        <v>(MO-REC-SF3-LP3)</v>
      </c>
      <c r="C254" s="47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538</v>
      </c>
      <c r="I254" s="17">
        <v>0</v>
      </c>
    </row>
    <row r="255" spans="1:9" ht="18.75" customHeight="1">
      <c r="A255" s="17" t="s">
        <v>610</v>
      </c>
      <c r="B255" s="13" t="str">
        <f t="shared" si="4"/>
        <v>(MO-REC-SF3-LP4)</v>
      </c>
      <c r="C255" s="47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538</v>
      </c>
      <c r="I255" s="17">
        <v>0</v>
      </c>
    </row>
    <row r="256" spans="1:9" ht="18.75" customHeight="1">
      <c r="A256" s="17" t="s">
        <v>611</v>
      </c>
      <c r="B256" s="13" t="str">
        <f t="shared" si="4"/>
        <v>(MO-REC-SF3-MP0)</v>
      </c>
      <c r="C256" s="47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538</v>
      </c>
      <c r="I256" s="17">
        <v>0</v>
      </c>
    </row>
    <row r="257" spans="1:9" ht="18.75" customHeight="1">
      <c r="A257" s="17" t="s">
        <v>612</v>
      </c>
      <c r="B257" s="13" t="str">
        <f t="shared" si="4"/>
        <v>(MO-REC-SF3-MP1)</v>
      </c>
      <c r="C257" s="47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538</v>
      </c>
      <c r="I257" s="17">
        <v>0</v>
      </c>
    </row>
    <row r="258" spans="1:9" ht="18.75" customHeight="1">
      <c r="A258" s="17" t="s">
        <v>613</v>
      </c>
      <c r="B258" s="13" t="str">
        <f t="shared" si="4"/>
        <v>(MO-REC-SF3-MP2)</v>
      </c>
      <c r="C258" s="47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538</v>
      </c>
      <c r="I258" s="17">
        <v>0</v>
      </c>
    </row>
    <row r="259" spans="1:9" ht="18.75" customHeight="1">
      <c r="A259" s="17" t="s">
        <v>614</v>
      </c>
      <c r="B259" s="13" t="str">
        <f t="shared" si="4"/>
        <v>(MO-REC-SF3-MP3)</v>
      </c>
      <c r="C259" s="47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538</v>
      </c>
      <c r="I259" s="17">
        <v>0</v>
      </c>
    </row>
    <row r="260" spans="1:9" ht="18.75" customHeight="1">
      <c r="A260" s="17" t="s">
        <v>615</v>
      </c>
      <c r="B260" s="13" t="str">
        <f t="shared" si="4"/>
        <v>(MO-REC-SF3-MP4)</v>
      </c>
      <c r="C260" s="47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538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539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8">
        <v>0</v>
      </c>
      <c r="G75" s="34">
        <f>Table2[[#This Row],[remoteListAmount]]-Table2[[#This Row],[remoteDiscountAmount]]</f>
        <v>225</v>
      </c>
      <c r="H75" t="s">
        <v>537</v>
      </c>
    </row>
    <row r="76" spans="1:10" hidden="1">
      <c r="A76" t="s">
        <v>540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8">
        <v>0</v>
      </c>
      <c r="G76" s="34">
        <f>Table2[[#This Row],[remoteListAmount]]-Table2[[#This Row],[remoteDiscountAmount]]</f>
        <v>325</v>
      </c>
      <c r="H76" t="s">
        <v>537</v>
      </c>
    </row>
    <row r="77" spans="1:10" hidden="1">
      <c r="A77" t="s">
        <v>541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8">
        <v>0</v>
      </c>
      <c r="G77" s="34">
        <f>Table2[[#This Row],[remoteListAmount]]-Table2[[#This Row],[remoteDiscountAmount]]</f>
        <v>450</v>
      </c>
      <c r="H77" t="s">
        <v>537</v>
      </c>
    </row>
    <row r="78" spans="1:10" hidden="1">
      <c r="A78" t="s">
        <v>542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8">
        <v>0</v>
      </c>
      <c r="G78" s="34">
        <f>Table2[[#This Row],[remoteListAmount]]-Table2[[#This Row],[remoteDiscountAmount]]</f>
        <v>225</v>
      </c>
      <c r="H78" t="s">
        <v>537</v>
      </c>
    </row>
    <row r="79" spans="1:10" hidden="1">
      <c r="A79" t="s">
        <v>543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8">
        <v>0</v>
      </c>
      <c r="G79" s="34">
        <f>Table2[[#This Row],[remoteListAmount]]-Table2[[#This Row],[remoteDiscountAmount]]</f>
        <v>325</v>
      </c>
      <c r="H79" t="s">
        <v>537</v>
      </c>
    </row>
    <row r="80" spans="1:10" hidden="1">
      <c r="A80" t="s">
        <v>544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8">
        <v>0</v>
      </c>
      <c r="G80" s="34">
        <f>Table2[[#This Row],[remoteListAmount]]-Table2[[#This Row],[remoteDiscountAmount]]</f>
        <v>225</v>
      </c>
      <c r="H80" t="s">
        <v>537</v>
      </c>
    </row>
    <row r="81" spans="1:8" hidden="1">
      <c r="A81" t="s">
        <v>545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8">
        <v>0</v>
      </c>
      <c r="G81" s="34">
        <f>Table2[[#This Row],[remoteListAmount]]-Table2[[#This Row],[remoteDiscountAmount]]</f>
        <v>315</v>
      </c>
      <c r="H81" t="s">
        <v>537</v>
      </c>
    </row>
    <row r="82" spans="1:8" hidden="1">
      <c r="A82" t="s">
        <v>546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8">
        <v>0</v>
      </c>
      <c r="G82" s="34">
        <f>Table2[[#This Row],[remoteListAmount]]-Table2[[#This Row],[remoteDiscountAmount]]</f>
        <v>200</v>
      </c>
      <c r="H82" t="s">
        <v>537</v>
      </c>
    </row>
    <row r="83" spans="1:8" hidden="1">
      <c r="A83" t="s">
        <v>547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8">
        <v>0</v>
      </c>
      <c r="G83" s="34">
        <f>Table2[[#This Row],[remoteListAmount]]-Table2[[#This Row],[remoteDiscountAmount]]</f>
        <v>340</v>
      </c>
      <c r="H83" t="s">
        <v>537</v>
      </c>
    </row>
    <row r="84" spans="1:8" hidden="1">
      <c r="A84" t="s">
        <v>548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8">
        <v>0</v>
      </c>
      <c r="G84" s="34">
        <f>Table2[[#This Row],[remoteListAmount]]-Table2[[#This Row],[remoteDiscountAmount]]</f>
        <v>175</v>
      </c>
      <c r="H84" t="s">
        <v>537</v>
      </c>
    </row>
    <row r="85" spans="1:8" hidden="1">
      <c r="A85" t="s">
        <v>549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8">
        <v>0</v>
      </c>
      <c r="G85" s="34">
        <f>Table2[[#This Row],[remoteListAmount]]-Table2[[#This Row],[remoteDiscountAmount]]</f>
        <v>365</v>
      </c>
      <c r="H85" t="s">
        <v>537</v>
      </c>
    </row>
    <row r="86" spans="1:8" hidden="1">
      <c r="A86" t="s">
        <v>549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8">
        <v>0</v>
      </c>
      <c r="G86" s="34">
        <f>Table2[[#This Row],[remoteListAmount]]-Table2[[#This Row],[remoteDiscountAmount]]</f>
        <v>450</v>
      </c>
      <c r="H86" t="s">
        <v>537</v>
      </c>
    </row>
    <row r="87" spans="1:8" hidden="1">
      <c r="A87" t="s">
        <v>547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8">
        <v>0</v>
      </c>
      <c r="G87" s="34">
        <f>Table2[[#This Row],[remoteListAmount]]-Table2[[#This Row],[remoteDiscountAmount]]</f>
        <v>300</v>
      </c>
      <c r="H87" t="s">
        <v>537</v>
      </c>
    </row>
    <row r="88" spans="1:8" hidden="1">
      <c r="A88" t="s">
        <v>543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8">
        <v>0</v>
      </c>
      <c r="G88" s="34">
        <f>Table2[[#This Row],[remoteListAmount]]-Table2[[#This Row],[remoteDiscountAmount]]</f>
        <v>325</v>
      </c>
      <c r="H88" t="s">
        <v>537</v>
      </c>
    </row>
    <row r="89" spans="1:8" hidden="1">
      <c r="A89" t="s">
        <v>550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8">
        <v>0</v>
      </c>
      <c r="G89" s="34">
        <f>Table2[[#This Row],[remoteListAmount]]-Table2[[#This Row],[remoteDiscountAmount]]</f>
        <v>450</v>
      </c>
      <c r="H89" t="s">
        <v>537</v>
      </c>
    </row>
    <row r="90" spans="1:8" hidden="1">
      <c r="A90" t="s">
        <v>551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8">
        <v>0</v>
      </c>
      <c r="G90" s="33">
        <f>Table2[[#This Row],[remoteListAmount]]-Table2[[#This Row],[remoteDiscountAmount]]</f>
        <v>425</v>
      </c>
      <c r="H90" t="s">
        <v>537</v>
      </c>
    </row>
    <row r="91" spans="1:8" hidden="1">
      <c r="A91" t="s">
        <v>552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8">
        <v>0</v>
      </c>
      <c r="G91" s="33">
        <f>Table2[[#This Row],[remoteListAmount]]-Table2[[#This Row],[remoteDiscountAmount]]</f>
        <v>325</v>
      </c>
      <c r="H91" t="s">
        <v>537</v>
      </c>
    </row>
    <row r="92" spans="1:8" hidden="1">
      <c r="A92" t="s">
        <v>553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8">
        <v>0</v>
      </c>
      <c r="G92" s="49">
        <f>Table2[[#This Row],[remoteListAmount]]-Table2[[#This Row],[remoteDiscountAmount]]</f>
        <v>325</v>
      </c>
      <c r="H92" t="s">
        <v>537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52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52">_xlfn.UNIQUE(_xlfn._xlws.SORT((HearingAids[haModel])))</f>
        <v>Beltone BTE Digital Boost Max S 17 95-DWHC</v>
      </c>
      <c r="B3" t="str" cm="1">
        <f t="array" ref="B3:B23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4 95-DWHC</v>
      </c>
      <c r="B4" t="str">
        <v>Amplifon Competitive</v>
      </c>
      <c r="C4" t="s">
        <v>7</v>
      </c>
    </row>
    <row r="5" spans="1:5">
      <c r="A5" t="str">
        <v>Beltone BTE Digital Boost Max S 6 95-DWHC</v>
      </c>
      <c r="B5" t="str">
        <v>BCBS Blue365 Member</v>
      </c>
      <c r="C5" t="s">
        <v>64</v>
      </c>
    </row>
    <row r="6" spans="1:5">
      <c r="A6" t="str">
        <v>Beltone BTE Digital Boost Max S 9 95-DWHC</v>
      </c>
      <c r="B6" t="str">
        <v>Early Lease Upgrade</v>
      </c>
      <c r="C6" t="s">
        <v>595</v>
      </c>
    </row>
    <row r="7" spans="1:5">
      <c r="A7" t="str">
        <v>Beltone BTE Digital Boost Ultra 17 86DWHT</v>
      </c>
      <c r="B7" t="str">
        <v>Envision 17 Special</v>
      </c>
      <c r="C7" t="s">
        <v>65</v>
      </c>
    </row>
    <row r="8" spans="1:5">
      <c r="A8" t="str">
        <v>Beltone BTE Digital Boost Ultra 17 95DWT</v>
      </c>
      <c r="B8" t="str">
        <v>Envision 6 Special</v>
      </c>
    </row>
    <row r="9" spans="1:5">
      <c r="A9" t="str">
        <v>Beltone BTE Digital Boost Ultra 6 86DWHT</v>
      </c>
      <c r="B9" t="str">
        <v>Envision 9 Special</v>
      </c>
    </row>
    <row r="10" spans="1:5">
      <c r="A10" t="str">
        <v>Beltone BTE Digital Boost Ultra 6 95DWT</v>
      </c>
      <c r="B10" t="str">
        <v>Fast Funding</v>
      </c>
    </row>
    <row r="11" spans="1:5">
      <c r="A11" t="str">
        <v>Beltone BTE Digital Boost Ultra 9 86DWHT</v>
      </c>
      <c r="B11" t="str">
        <v>GHB/BCBS Competitive</v>
      </c>
    </row>
    <row r="12" spans="1:5">
      <c r="A12" t="str">
        <v>Beltone BTE Digital Boost Ultra 9 95DWT</v>
      </c>
      <c r="B12" t="str">
        <v>HCS Competitive</v>
      </c>
    </row>
    <row r="13" spans="1:5">
      <c r="A13" t="str">
        <v>Beltone BTE Digital Rely 2 66DW</v>
      </c>
      <c r="B13" t="str">
        <v>HearUSA Competitive</v>
      </c>
    </row>
    <row r="14" spans="1:5">
      <c r="A14" t="str">
        <v>Beltone BTE Digital Rely 2 76DW</v>
      </c>
      <c r="B14" t="str">
        <v>Humana</v>
      </c>
    </row>
    <row r="15" spans="1:5">
      <c r="A15" t="str">
        <v>Beltone BTE Digital Rely 2 86DWH</v>
      </c>
      <c r="B15" t="str">
        <v>Marketing Offer</v>
      </c>
    </row>
    <row r="16" spans="1:5">
      <c r="A16" t="str">
        <v>Beltone BTE Digital Rely 2 95DW</v>
      </c>
      <c r="B16" t="str">
        <v>Martins Point Competitive</v>
      </c>
    </row>
    <row r="17" spans="1:2">
      <c r="A17" t="str">
        <v>Beltone BTE Digital Rely 3 66DW</v>
      </c>
      <c r="B17" t="str">
        <v>Nations Hearing Competitive</v>
      </c>
    </row>
    <row r="18" spans="1:2">
      <c r="A18" t="str">
        <v>Beltone BTE Digital Rely 3 76DW</v>
      </c>
      <c r="B18" t="str">
        <v>Open House Special</v>
      </c>
    </row>
    <row r="19" spans="1:2">
      <c r="A19" t="str">
        <v>Beltone BTE Digital Rely 3 86DWH</v>
      </c>
      <c r="B19" t="str">
        <v>Tri-Care</v>
      </c>
    </row>
    <row r="20" spans="1:2">
      <c r="A20" t="str">
        <v>Beltone BTE Digital Rely 3 95DW</v>
      </c>
      <c r="B20" t="str">
        <v>TruHearing Competitive</v>
      </c>
    </row>
    <row r="21" spans="1:2">
      <c r="A21" t="str">
        <v>Beltone BTE Digital Rely 4 66DW</v>
      </c>
      <c r="B21" t="str">
        <v>UHCH Competitive</v>
      </c>
    </row>
    <row r="22" spans="1:2">
      <c r="A22" t="str">
        <v>Beltone BTE Digital Rely 4 76DW</v>
      </c>
      <c r="B22" t="str">
        <v>Veterans Discount</v>
      </c>
    </row>
    <row r="23" spans="1:2">
      <c r="A23" t="str">
        <v>Beltone BTE Digital Rely 4 86DWH</v>
      </c>
      <c r="B23" t="str">
        <v>WellCare Competitive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  <row r="49" spans="1:1">
      <c r="A49" t="str">
        <v>Beltone RIE Digital XC 4 61DRWC</v>
      </c>
    </row>
    <row r="50" spans="1:1">
      <c r="A50" t="str">
        <v>Beltone RIE Digital XF 5 60SDRWC</v>
      </c>
    </row>
    <row r="51" spans="1:1">
      <c r="A51" t="str">
        <v>Beltone RIE Digital XF 7 60SDRWC</v>
      </c>
    </row>
    <row r="52" spans="1:1">
      <c r="A52" t="str">
        <v>Beltone RIE Digital XF 9 60SDRWC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2026-04-22T14:33:53Z</dcterms:modified>
  <cp:category/>
  <cp:contentStatus/>
</cp:coreProperties>
</file>