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62" documentId="8_{964C585B-190F-46EC-9553-F8D486DF59FA}" xr6:coauthVersionLast="47" xr6:coauthVersionMax="47" xr10:uidLastSave="{851538FC-BFA9-423B-A4C4-EFFDC1FF98FA}"/>
  <bookViews>
    <workbookView xWindow="-120" yWindow="-120" windowWidth="29040" windowHeight="15720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48" i="1" l="1"/>
  <c r="J47" i="1"/>
  <c r="F48" i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G46" i="1" l="1"/>
  <c r="K48" i="1"/>
  <c r="K47" i="1"/>
  <c r="K46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<sst xmlns="http://schemas.openxmlformats.org/spreadsheetml/2006/main" count="2839" uniqueCount="629">
  <si>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</si>
  <si>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</si>
  <si>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</si>
  <si>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</si>
  <si>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</si>
  <si>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</si>
  <si>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</si>
  <si>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</si>
  <si>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</si>
  <si>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</si>
  <si>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</si>
  <si>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</si>
  <si>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</si>
  <si>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</si>
  <si>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</si>
  <si>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</si>
  <si>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</si>
  <si>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</si>
  <si>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</si>
  <si>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</si>
  <si>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</si>
  <si>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</si>
  <si>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</si>
  <si>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</si>
  <si>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</si>
  <si>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</si>
  <si>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</si>
  <si>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</si>
  <si>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</si>
  <si>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</si>
  <si>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</si>
  <si>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</si>
  <si>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</si>
  <si>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</si>
  <si>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</si>
  <si>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</si>
  <si>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</si>
  <si>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</si>
  <si>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</si>
  <si>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</si>
  <si>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</si>
  <si>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</si>
  <si>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</si>
  <si>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</si>
  <si>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</si>
  <si>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</si>
  <si>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</si>
  <si>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</si>
  <si>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</si>
  <si>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</si>
  <si>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</si>
  <si>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</si>
  <si>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</si>
  <si>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</si>
  <si>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</si>
  <si>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</si>
  <si>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</si>
  <si>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</si>
  <si>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</si>
  <si>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</si>
  <si>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</si>
  <si>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</si>
  <si>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</si>
  <si>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</si>
  <si>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</si>
  <si>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</si>
  <si>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</si>
  <si>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</si>
  <si>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</si>
  <si>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</si>
  <si>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</si>
  <si>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</si>
  <si>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</si>
  <si>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</si>
  <si>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</si>
  <si>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</si>
  <si>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</si>
  <si>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</si>
  <si>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</si>
  <si>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</si>
  <si>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</si>
  <si>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</si>
  <si>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</si>
  <si>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</si>
  <si>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</si>
  <si>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</si>
  <si>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</si>
  <si>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</si>
  <si>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</si>
  <si>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</si>
  <si>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</si>
  <si>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</si>
  <si>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</si>
  <si>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</si>
  <si>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</si>
  <si>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</si>
  <si>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</si>
  <si>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</si>
  <si>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</si>
  <si>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</si>
  <si>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</si>
  <si>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</si>
  <si>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</si>
  <si>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</si>
  <si>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</si>
  <si>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</si>
  <si>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</si>
  <si>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</si>
  <si>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</si>
  <si>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</si>
  <si>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</si>
  <si>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</si>
  <si>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</si>
  <si>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</si>
  <si>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</si>
  <si>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</si>
  <si>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</si>
  <si>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</si>
  <si>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</si>
  <si>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</si>
  <si>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</si>
  <si>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</si>
  <si>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</si>
  <si>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</si>
  <si>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</si>
  <si>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</si>
  <si>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</si>
  <si>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</si>
  <si>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</si>
  <si>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</si>
  <si>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</si>
  <si>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</si>
  <si>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</si>
  <si>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</si>
  <si>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</si>
  <si>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</si>
  <si>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</si>
  <si>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</si>
  <si>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</si>
  <si>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</si>
  <si>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</si>
  <si>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</si>
  <si>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</si>
  <si>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</si>
  <si>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</si>
  <si>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</si>
  <si>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</si>
  <si>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</si>
  <si>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</si>
  <si>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</si>
  <si>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</si>
  <si>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</si>
  <si>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</si>
  <si>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</si>
  <si>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</si>
  <si>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</si>
  <si>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</si>
  <si>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</si>
  <si>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</si>
  <si>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</si>
  <si>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</si>
  <si>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</si>
  <si>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</si>
  <si>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</si>
  <si>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</si>
  <si>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</si>
  <si>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</si>
  <si>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</si>
  <si>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</si>
  <si>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</si>
  <si>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</si>
  <si>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</si>
  <si>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</si>
  <si>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</si>
  <si>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</si>
  <si>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</si>
  <si>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</si>
  <si>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</si>
  <si>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</si>
  <si>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</si>
  <si>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</si>
  <si>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</si>
  <si>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</si>
  <si>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</si>
  <si>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</si>
  <si>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</si>
  <si>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</si>
  <si>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</si>
  <si>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</si>
  <si>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</si>
  <si>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</si>
  <si>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</si>
  <si>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</si>
  <si>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</si>
  <si>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</si>
  <si>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</si>
  <si>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</si>
  <si>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</si>
  <si>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</si>
  <si>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</si>
  <si>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</si>
  <si>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</si>
  <si>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</si>
  <si>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</si>
  <si>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</si>
  <si>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</si>
  <si>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</si>
  <si>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</si>
  <si>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</si>
  <si>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</si>
  <si>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</si>
  <si>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</si>
  <si>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</si>
  <si>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</si>
  <si>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</si>
  <si>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</si>
  <si>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</si>
  <si>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</si>
  <si>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</si>
  <si>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</si>
  <si>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</si>
  <si>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</si>
  <si>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</si>
  <si>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</si>
  <si>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</si>
  <si>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</si>
  <si>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</si>
  <si>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</si>
  <si>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</si>
  <si>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</si>
  <si>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</si>
  <si>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</si>
  <si>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</si>
  <si>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</si>
  <si>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</si>
  <si>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</si>
  <si>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</si>
  <si>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</si>
  <si>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</si>
  <si>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</si>
  <si>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</si>
  <si>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</si>
  <si>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</si>
  <si>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</si>
  <si>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</si>
  <si>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</si>
  <si>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</si>
  <si>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</si>
  <si>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</si>
  <si>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</si>
  <si>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</si>
  <si>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</si>
  <si>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</si>
  <si>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</si>
  <si>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</si>
  <si>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</si>
  <si>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</si>
  <si>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</si>
  <si>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</si>
  <si>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</si>
  <si>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</si>
  <si>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</si>
  <si>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</si>
  <si>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</si>
  <si>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</si>
  <si>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</si>
  <si>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</si>
  <si>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</si>
  <si>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</si>
  <si>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</si>
  <si>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</si>
  <si>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</si>
  <si>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</si>
  <si>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</si>
  <si>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</si>
  <si>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</si>
  <si>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</si>
  <si>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</si>
  <si>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</si>
  <si>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</si>
  <si>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</si>
  <si>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</si>
  <si>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</si>
  <si>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</si>
  <si>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</si>
  <si>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</si>
  <si>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</si>
  <si>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</si>
  <si>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</si>
  <si>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</si>
  <si>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</si>
  <si>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</si>
  <si>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</si>
  <si>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</si>
  <si>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</si>
  <si>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</si>
  <si>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</si>
  <si>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</si>
  <si>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</si>
  <si>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</si>
  <si>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</si>
  <si>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</si>
  <si>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</si>
  <si>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</si>
  <si>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</si>
  <si>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</si>
  <si>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</si>
  <si>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</si>
  <si>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</si>
  <si>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</si>
  <si>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</si>
  <si>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</si>
  <si>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</si>
  <si>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</si>
  <si>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</si>
  <si>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</si>
  <si>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</si>
  <si>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</si>
  <si>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</si>
  <si>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</si>
  <si>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</si>
  <si>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</si>
  <si>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</si>
  <si>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</si>
  <si>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</si>
  <si>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</si>
  <si>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</si>
  <si>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</si>
  <si>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</si>
  <si>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</si>
  <si>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</si>
  <si>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</si>
  <si>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</si>
  <si>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</si>
  <si>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</si>
  <si>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</si>
  <si>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</si>
  <si>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</si>
  <si>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</si>
  <si>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</si>
  <si>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</si>
  <si>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</si>
  <si>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</si>
  <si>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</si>
  <si>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</si>
  <si>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</si>
  <si>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</si>
  <si>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</si>
  <si>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</si>
  <si>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</si>
  <si>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</si>
  <si>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</si>
  <si>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</si>
  <si>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</si>
  <si>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</si>
  <si>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</si>
  <si>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</si>
  <si>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</si>
  <si>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</si>
  <si>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</si>
  <si>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</si>
  <si>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</si>
  <si>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</si>
  <si>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</si>
  <si>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</si>
  <si>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</si>
  <si>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</si>
  <si>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</si>
  <si>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</si>
  <si>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</si>
  <si>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</si>
  <si>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</si>
  <si>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</si>
  <si>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</si>
  <si>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</si>
  <si>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</si>
  <si>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</si>
  <si>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</si>
  <si>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</si>
  <si>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</si>
  <si>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</si>
  <si>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</si>
  <si>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</si>
  <si>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</si>
  <si>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</si>
  <si>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</si>
  <si>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</si>
  <si>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</si>
  <si>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</si>
  <si>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</si>
  <si>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</si>
  <si>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</si>
  <si>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</si>
  <si>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</si>
  <si>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</si>
  <si>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</si>
  <si>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</si>
  <si>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</si>
  <si>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</si>
  <si>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</si>
  <si>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</si>
  <si>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</si>
  <si>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</si>
  <si>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</si>
  <si>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</si>
  <si>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</si>
  <si>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</si>
  <si>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</si>
  <si>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</si>
  <si>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</si>
  <si>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</si>
  <si>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</si>
  <si>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</si>
  <si>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</si>
  <si>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</si>
  <si>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</si>
  <si>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</si>
  <si>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</si>
  <si>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</si>
  <si>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</si>
  <si>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</si>
  <si>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</si>
  <si>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</si>
  <si>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</si>
  <si>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</si>
  <si>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</si>
  <si>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</si>
  <si>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</si>
  <si>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</si>
  <si>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</si>
  <si>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</si>
  <si>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</si>
  <si>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</si>
  <si>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</si>
  <si>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</si>
  <si>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</si>
  <si>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</si>
  <si>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</si>
  <si>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</si>
  <si>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</si>
  <si>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</si>
  <si>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</si>
  <si>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</si>
  <si>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</si>
  <si>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</si>
  <si>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</si>
  <si>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</si>
  <si>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</si>
  <si>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</si>
  <si>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</si>
  <si>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</si>
  <si>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</si>
  <si>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</si>
  <si>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</si>
  <si>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</si>
  <si>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</si>
  <si>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</si>
  <si>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</si>
  <si>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</si>
  <si>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</si>
  <si>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</si>
  <si>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</si>
  <si>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</si>
  <si>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</si>
  <si>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</si>
  <si>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</si>
  <si>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</si>
  <si>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</si>
  <si>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</si>
  <si>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</si>
  <si>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</si>
  <si>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</si>
  <si>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</si>
  <si>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</si>
  <si>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</si>
  <si>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</si>
  <si>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</si>
  <si>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</si>
  <si>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</si>
  <si>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</si>
  <si>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</si>
  <si>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</si>
  <si>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</si>
  <si>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</si>
  <si>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</si>
  <si>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</si>
  <si>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</si>
  <si>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</si>
  <si>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</si>
  <si>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</si>
  <si>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</si>
  <si>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</si>
  <si>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</si>
  <si>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</si>
  <si>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</si>
  <si>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</si>
  <si>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</si>
  <si>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</si>
  <si>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</si>
  <si>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</si>
  <si>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</si>
  <si>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</si>
  <si>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</si>
  <si>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</si>
  <si>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</si>
  <si>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</si>
  <si>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</si>
  <si>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</si>
  <si>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</si>
  <si>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</si>
  <si>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</si>
  <si>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</si>
  <si>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</si>
  <si>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</si>
  <si>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</si>
  <si>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</si>
  <si>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</si>
  <si>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</si>
  <si>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</si>
  <si>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</si>
  <si>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</si>
  <si>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</si>
  <si>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</si>
  <si>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</si>
  <si>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</si>
  <si>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</si>
  <si>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</si>
  <si>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</si>
  <si>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</si>
  <si>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</si>
  <si>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</si>
  <si>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</si>
  <si>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</si>
  <si>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</si>
  <si>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</si>
  <si>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</si>
  <si>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</si>
  <si>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</si>
  <si>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</si>
  <si>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</si>
  <si>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</si>
  <si>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</si>
  <si>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</si>
  <si>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</si>
  <si>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</si>
  <si>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</si>
  <si>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</si>
  <si>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</si>
  <si>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</si>
  <si>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</si>
  <si>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</si>
  <si>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</si>
  <si>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</si>
  <si>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</si>
  <si>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</si>
  <si>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</si>
  <si>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</si>
  <si>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</si>
  <si>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</si>
  <si>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</si>
  <si>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</si>
  <si>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</si>
  <si>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</si>
  <si>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</si>
  <si>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</si>
  <si>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</si>
  <si>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</si>
  <si>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</si>
  <si>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</si>
  <si>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</si>
  <si>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</si>
  <si>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</si>
  <si>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</si>
  <si>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</si>
  <si>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</si>
  <si>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</si>
  <si>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</si>
  <si>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</si>
  <si>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</si>
  <si>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</si>
  <si>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</si>
  <si>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</si>
  <si>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</si>
  <si>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</si>
  <si>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</si>
  <si>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</si>
  <si>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</si>
  <si>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</si>
  <si>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</si>
  <si>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</si>
  <si>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</si>
  <si>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</si>
  <si>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</si>
  <si>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</si>
  <si>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</si>
  <si>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</si>
  <si>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</si>
  <si>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</si>
  <si>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</si>
  <si>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</si>
  <si>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</si>
  <si>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</si>
  <si>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</si>
  <si>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</si>
  <si>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</si>
  <si>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</si>
  <si>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</si>
  <si>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</si>
  <si>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</si>
  <si>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</si>
  <si>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</si>
  <si>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</si>
  <si>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</si>
  <si>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</si>
  <si>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</si>
  <si>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</si>
  <si>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</si>
  <si>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</si>
  <si>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</si>
  <si>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</si>
  <si>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</si>
  <si>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</si>
  <si>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</si>
  <si>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</si>
  <si>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</si>
  <si>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</si>
  <si>
    <t>Envision 17 Special</t>
  </si>
  <si>
    <t>Envision 6 Special</t>
  </si>
  <si>
    <t>Envision 9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</si>
</sst>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5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4" fillId="0" borderId="16" xfId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4" fillId="0" borderId="0" xfId="0" applyFont="1" applyBorder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43" fontId="0" fillId="0" borderId="16" xfId="1" applyFont="1" applyFill="1" applyBorder="1"/>
    <xf numFmtId="43" fontId="3" fillId="0" borderId="16" xfId="1" applyFont="1" applyFill="1" applyBorder="1"/>
    <xf numFmtId="43" fontId="0" fillId="0" borderId="18" xfId="1" applyFont="1" applyFill="1" applyBorder="1"/>
    <xf numFmtId="43" fontId="0" fillId="0" borderId="16" xfId="1" applyFont="1" applyBorder="1"/>
    <xf numFmtId="0" fontId="1" fillId="0" borderId="0" xfId="0" applyFont="1" applyFill="1"/>
    <xf numFmtId="0" fontId="1" fillId="0" borderId="0" xfId="0" applyFont="1" applyAlignme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NumberFormat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43" fontId="1" fillId="0" borderId="0" xfId="1" applyNumberFormat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0" fillId="0" borderId="0" xfId="0" applyFont="1"/>
    <xf numFmtId="0" fontId="16" fillId="0" borderId="0" xfId="0" applyFont="1" applyBorder="1"/>
    <xf numFmtId="0" fontId="10" fillId="0" borderId="17" xfId="0" applyFont="1" applyBorder="1"/>
    <xf numFmtId="43" fontId="6" fillId="0" borderId="0" xfId="1" applyFont="1" applyFill="1" applyBorder="1"/>
    <xf numFmtId="0" fontId="16" fillId="0" borderId="0" xfId="0" applyFont="1" applyBorder="1" applyAlignment="1">
      <alignment horizontal="center"/>
    </xf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0" fillId="0" borderId="0" xfId="0" applyNumberFormat="1" applyBorder="1"/>
    <xf numFmtId="49" fontId="16" fillId="0" borderId="14" xfId="1" applyNumberFormat="1" applyFont="1" applyFill="1" applyBorder="1"/>
    <xf numFmtId="43" fontId="0" fillId="0" borderId="14" xfId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9" dataDxfId="58">
  <autoFilter ref="A1:V159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2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0" dataCellStyle="Comma"/>
    <tableColumn id="19" xr3:uid="{7FD8661B-3CB2-4419-B4E4-F4B466463008}" name="Discount Type 3" dataDxfId="1" dataCellStyle="Comma"/>
    <tableColumn id="21" xr3:uid="{F690564D-67FB-47A7-BB92-4594973E8684}" name="Discount Amount 3" dataDxfId="47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6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5" dataCellStyle="Comma"/>
    <tableColumn id="10" xr3:uid="{C584D592-9121-42BD-ADD1-A997B12ADB03}" name="paFittingFee" dataDxfId="44" dataCellStyle="Comma"/>
    <tableColumn id="4" xr3:uid="{D4BCCF1D-8129-4502-AE64-888D352A8485}" name="chargerType" dataDxfId="43" dataCellStyle="Comma"/>
    <tableColumn id="5" xr3:uid="{8D61B71A-686D-41F5-A2BF-54F259932C23}" name="chargerPrice" dataDxfId="42" dataCellStyle="Comma"/>
    <tableColumn id="11" xr3:uid="{8C0379A7-F346-4094-953F-A4AB4D0878CB}" name="haReceiverType" dataDxfId="41" dataCellStyle="Comma"/>
    <tableColumn id="9" xr3:uid="{5D6BB6BD-447F-4911-B6E4-986FB62F14A1}" name="haReceiverPrice" dataDxfId="40" dataCellStyle="Comma"/>
    <tableColumn id="12" xr3:uid="{E1863ADB-80F5-499D-B829-43F23A36EF68}" name="haReceiverDiscountDescription" dataDxfId="39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8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7"/>
    <tableColumn id="4" xr3:uid="{AFD2CC34-308A-452C-88C9-7ABCC4C3CBAE}" name="barcode" dataDxfId="36">
      <calculatedColumnFormula>"("&amp;A2&amp;")"</calculatedColumnFormula>
    </tableColumn>
    <tableColumn id="9" xr3:uid="{B8801611-8566-463A-835D-35713DE2FBEA}" name="receiverType" dataDxfId="35"/>
    <tableColumn id="1" xr3:uid="{AD24FFA9-E8B9-4018-8A06-B4494014DBB8}" name="receiverRightDescription2" dataDxfId="34"/>
    <tableColumn id="2" xr3:uid="{2C8BFB26-ADC9-49BF-859D-B9B1DD563DA3}" name="receiverLeftDescription" dataDxfId="33"/>
    <tableColumn id="8" xr3:uid="{DF46FFD8-CF92-4CF1-A0FF-3A3AA14FB6A7}" name="receiverListAmount" dataDxfId="32"/>
    <tableColumn id="5" xr3:uid="{F789C631-ACE4-4877-A193-CFB176AB4CAA}" name="receiverDiscountAmount" dataDxfId="31"/>
    <tableColumn id="6" xr3:uid="{F07C2478-D3D3-4691-BC4C-7E1A65A10250}" name="receiverDiscountDescription" dataDxfId="30"/>
    <tableColumn id="7" xr3:uid="{F77E97F1-5006-4D72-B46E-440B6D66854F}" name="receiverPrice" dataDxfId="2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8" headerRowBorderDxfId="27" tableBorderDxfId="26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5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4"/>
    <tableColumn id="8" xr3:uid="{D7583571-F6BF-4E66-B4FE-1F6C0658D1E4}" name="remoteAmount" dataDxfId="23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22" dataDxfId="20" headerRowBorderDxfId="21" tableBorderDxfId="19">
  <autoFilter ref="A1:H3" xr:uid="{9E35851D-E21C-4957-852B-C619133CF977}"/>
  <tableColumns count="8">
    <tableColumn id="1" xr3:uid="{9C5C5DE5-EA97-4EF1-8892-EBFCAC4443EA}" name="barcodeName" dataDxfId="18"/>
    <tableColumn id="2" xr3:uid="{3987A654-3331-4022-95F5-BEF488FDFD5D}" name="barcode" dataDxfId="17">
      <calculatedColumnFormula>"("&amp;A2&amp;")"</calculatedColumnFormula>
    </tableColumn>
    <tableColumn id="3" xr3:uid="{B575D7DB-8A17-44F2-812F-84D8DF10D3DD}" name="serviceDescription" dataDxfId="16"/>
    <tableColumn id="4" xr3:uid="{1E8BF5D4-6F7F-4C9F-B1C6-A5382AB6523A}" name="serviceDiscountDescription" dataDxfId="15"/>
    <tableColumn id="7" xr3:uid="{A104B7ED-7164-4645-80F4-4FB3B815FA1C}" name="serviceListAmount" dataDxfId="14" dataCellStyle="Comma"/>
    <tableColumn id="5" xr3:uid="{FA21F863-CA81-4450-AB48-77E6CBCB2D99}" name="serviceDiscountAmount" dataDxfId="13" dataCellStyle="Comma"/>
    <tableColumn id="8" xr3:uid="{0C0AAA86-C611-4A7B-8F6A-7547563ECBBB}" name="serviceAmount" dataDxfId="12" dataCellStyle="Comma"/>
    <tableColumn id="6" xr3:uid="{BA455156-79BF-4EC7-BA14-3484B2B4810B}" name="paFittingFee" dataDxfId="11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10">
  <autoFilter ref="A1:G3" xr:uid="{06EED7A3-D2B4-46BC-8F41-FB11FC20F42F}"/>
  <tableColumns count="7">
    <tableColumn id="1" xr3:uid="{EA5C7967-7D68-4146-84DE-1135A119CC3D}" name="barcodeName" dataDxfId="9"/>
    <tableColumn id="2" xr3:uid="{C49A42F5-93EA-4670-959A-42455600C7C8}" name="barcode" dataDxfId="8">
      <calculatedColumnFormula>"("&amp;A2&amp;")"</calculatedColumnFormula>
    </tableColumn>
    <tableColumn id="3" xr3:uid="{2609A236-2D4A-49A0-BD07-CC9B0426F536}" name="accessoryDescription" dataDxfId="7"/>
    <tableColumn id="4" xr3:uid="{9F5155AE-6C5F-4BA4-AD9F-DAE0C8053CCF}" name="accessoryDiscountDescription" dataDxfId="6"/>
    <tableColumn id="6" xr3:uid="{CE967C46-B3C7-4797-BD2D-C5D197F6260B}" name="accessoryListAmount" dataDxfId="5" dataCellStyle="Comma"/>
    <tableColumn id="5" xr3:uid="{CAA4A522-ACE9-4EE8-A795-EFB2F9D3E99B}" name="accessoryDiscountAmount" dataDxfId="4" dataCellStyle="Comma"/>
    <tableColumn id="7" xr3:uid="{C6197BEF-5482-4860-814F-46EEEB1E034B}" name="accessoryAmount" dataDxfId="3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abSelected="1" workbookViewId="0">
      <selection activeCell="B3" sqref="B3:C3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13" t="s">
        <v>496</v>
      </c>
      <c r="C3" s="114"/>
    </row>
    <row r="4" spans="1:8" ht="13.5" thickBot="1">
      <c r="A4" s="66"/>
    </row>
    <row r="5" spans="1:8" ht="13.5" thickBot="1">
      <c r="A5" s="66" t="s">
        <v>0</v>
      </c>
      <c r="B5" s="113">
        <v>2</v>
      </c>
      <c r="C5" s="114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13" t="s">
        <v>626</v>
      </c>
      <c r="C7" s="114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12"/>
      <c r="B30" s="112"/>
      <c r="C30" s="112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zoomScale="80" zoomScaleNormal="80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T55" sqref="T55:V5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style="16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10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4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9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61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38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9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61"/>
      <c r="M3" s="2"/>
      <c r="N3" s="2"/>
      <c r="O3" s="2"/>
      <c r="P3" s="39"/>
      <c r="Q3" s="40">
        <v>1</v>
      </c>
      <c r="R3" s="105" t="s">
        <v>9</v>
      </c>
      <c r="S3" s="39">
        <v>225</v>
      </c>
      <c r="T3" s="42"/>
      <c r="U3" s="42"/>
      <c r="V3" s="38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9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61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38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100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61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38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1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100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61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38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1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100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61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38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9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61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9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61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9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61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9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61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9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61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9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61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9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61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9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61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9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61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9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61"/>
      <c r="M17" s="2"/>
      <c r="N17" s="2"/>
      <c r="O17" s="2"/>
      <c r="P17" s="39"/>
      <c r="Q17" s="23">
        <v>1</v>
      </c>
      <c r="R17" s="106" t="s">
        <v>9</v>
      </c>
      <c r="S17" s="22">
        <v>225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9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61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9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61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9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61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9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61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9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61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9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61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9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61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9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61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9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61"/>
      <c r="M26" s="2"/>
      <c r="N26" s="2"/>
      <c r="O26" s="2"/>
      <c r="P26" s="39"/>
      <c r="Q26" s="15">
        <v>1</v>
      </c>
      <c r="R26" s="107" t="s">
        <v>9</v>
      </c>
      <c r="S26" s="22">
        <v>225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9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61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9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61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9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61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9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61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9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61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9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61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9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61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9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61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115" t="s">
        <v>617</v>
      </c>
      <c r="B35" s="3" t="s">
        <v>618</v>
      </c>
      <c r="C35" s="55">
        <f>(HearingAids[[#This Row],[haMSRP]]*2)+HearingAids[[#This Row],[chargerPrice]]</f>
        <v>6283</v>
      </c>
      <c r="D35" s="119">
        <v>3029</v>
      </c>
      <c r="E35" s="119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100">
        <v>5050</v>
      </c>
      <c r="I35" s="125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61">
        <v>5050</v>
      </c>
      <c r="M35" s="119"/>
      <c r="N35" s="2"/>
      <c r="O35" s="119"/>
      <c r="P35" s="119"/>
      <c r="Q35" s="132">
        <v>1</v>
      </c>
      <c r="R35" s="108" t="s">
        <v>9</v>
      </c>
      <c r="S35" s="22">
        <v>225</v>
      </c>
      <c r="T35" s="140"/>
      <c r="U35" s="140"/>
      <c r="V35" s="119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1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62">
        <v>3390</v>
      </c>
      <c r="M36" s="2"/>
      <c r="N36" s="2"/>
      <c r="O36" s="2"/>
      <c r="P36" s="22"/>
      <c r="Q36" s="23">
        <v>1</v>
      </c>
      <c r="R36" s="106" t="s">
        <v>9</v>
      </c>
      <c r="S36" s="22">
        <v>225</v>
      </c>
      <c r="T36" s="24" t="s">
        <v>26</v>
      </c>
      <c r="U36" s="25">
        <v>0</v>
      </c>
      <c r="V36" s="25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100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61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100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61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100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61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100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61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100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61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100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61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>
      <c r="A43" s="115" t="s">
        <v>619</v>
      </c>
      <c r="B43" s="3" t="s">
        <v>620</v>
      </c>
      <c r="C43" s="55">
        <f>(HearingAids[[#This Row],[haMSRP]]*2)+HearingAids[[#This Row],[chargerPrice]]</f>
        <v>11863</v>
      </c>
      <c r="D43" s="119">
        <v>5819</v>
      </c>
      <c r="E43" s="119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100">
        <v>9450</v>
      </c>
      <c r="I43" s="125" t="s">
        <v>28</v>
      </c>
      <c r="J43" s="2"/>
      <c r="K43" s="2">
        <f>HearingAids[[#This Row],[HAListPrice]]-HearingAids[[#This Row],[Discount Amount 2]]</f>
        <v>4612.5</v>
      </c>
      <c r="L43" s="161">
        <v>9450</v>
      </c>
      <c r="M43" s="119"/>
      <c r="N43" s="2"/>
      <c r="O43" s="119"/>
      <c r="P43" s="119"/>
      <c r="Q43" s="132">
        <v>1</v>
      </c>
      <c r="R43" s="108" t="s">
        <v>9</v>
      </c>
      <c r="S43" s="22">
        <v>225</v>
      </c>
      <c r="T43" s="140" t="s">
        <v>14</v>
      </c>
      <c r="U43" s="140">
        <v>0</v>
      </c>
      <c r="V43" s="119" t="s">
        <v>11</v>
      </c>
      <c r="Y43" s="25"/>
      <c r="Z43" s="25"/>
      <c r="AA43" s="25"/>
      <c r="AB43"/>
      <c r="AC43"/>
      <c r="AD43"/>
      <c r="AE43"/>
    </row>
    <row r="44" spans="1:31" ht="12.75">
      <c r="A44" s="115" t="s">
        <v>621</v>
      </c>
      <c r="B44" s="3" t="s">
        <v>622</v>
      </c>
      <c r="C44" s="55">
        <f>(HearingAids[[#This Row],[haMSRP]]*2)+HearingAids[[#This Row],[chargerPrice]]</f>
        <v>7603</v>
      </c>
      <c r="D44" s="119">
        <v>3689</v>
      </c>
      <c r="E44" s="119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100">
        <v>7050</v>
      </c>
      <c r="I44" s="125" t="s">
        <v>28</v>
      </c>
      <c r="J44" s="2"/>
      <c r="K44" s="2">
        <f>HearingAids[[#This Row],[HAListPrice]]-HearingAids[[#This Row],[Discount Amount 2]]</f>
        <v>3412.5</v>
      </c>
      <c r="L44" s="161">
        <v>7050</v>
      </c>
      <c r="M44" s="119"/>
      <c r="N44" s="2"/>
      <c r="O44" s="119"/>
      <c r="P44" s="119"/>
      <c r="Q44" s="132">
        <v>1</v>
      </c>
      <c r="R44" s="108" t="s">
        <v>9</v>
      </c>
      <c r="S44" s="22">
        <v>225</v>
      </c>
      <c r="T44" s="140" t="s">
        <v>14</v>
      </c>
      <c r="U44" s="140">
        <v>0</v>
      </c>
      <c r="V44" s="119" t="s">
        <v>11</v>
      </c>
      <c r="Y44" s="25"/>
      <c r="Z44" s="25"/>
      <c r="AA44" s="25"/>
      <c r="AB44"/>
      <c r="AC44"/>
      <c r="AD44"/>
      <c r="AE44"/>
    </row>
    <row r="45" spans="1:31" ht="12.75">
      <c r="A45" s="115" t="s">
        <v>623</v>
      </c>
      <c r="B45" s="3" t="s">
        <v>624</v>
      </c>
      <c r="C45" s="55">
        <f>(HearingAids[[#This Row],[haMSRP]]*2)+HearingAids[[#This Row],[chargerPrice]]</f>
        <v>9583</v>
      </c>
      <c r="D45" s="119">
        <v>4679</v>
      </c>
      <c r="E45" s="119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100">
        <v>8350</v>
      </c>
      <c r="I45" s="125" t="s">
        <v>28</v>
      </c>
      <c r="J45" s="2"/>
      <c r="K45" s="2">
        <f>HearingAids[[#This Row],[HAListPrice]]-HearingAids[[#This Row],[Discount Amount 2]]</f>
        <v>4062.5</v>
      </c>
      <c r="L45" s="161">
        <v>8350</v>
      </c>
      <c r="M45" s="119"/>
      <c r="N45" s="2"/>
      <c r="O45" s="119"/>
      <c r="P45" s="119"/>
      <c r="Q45" s="132">
        <v>1</v>
      </c>
      <c r="R45" s="108" t="s">
        <v>9</v>
      </c>
      <c r="S45" s="22">
        <v>225</v>
      </c>
      <c r="T45" s="140" t="s">
        <v>14</v>
      </c>
      <c r="U45" s="140">
        <v>0</v>
      </c>
      <c r="V45" s="119" t="s">
        <v>11</v>
      </c>
      <c r="Y45" s="25"/>
      <c r="Z45" s="25"/>
      <c r="AA45" s="25"/>
      <c r="AB45"/>
      <c r="AC45"/>
      <c r="AD45"/>
      <c r="AE45"/>
    </row>
    <row r="46" spans="1:31" ht="12.75">
      <c r="A46" s="150" t="s">
        <v>496</v>
      </c>
      <c r="B46" s="151" t="s">
        <v>503</v>
      </c>
      <c r="C46" s="152">
        <f>(HearingAids[[#This Row],[haMSRP]]*2)+HearingAids[[#This Row],[chargerPrice]]</f>
        <v>11963</v>
      </c>
      <c r="D46" s="153">
        <v>5819</v>
      </c>
      <c r="E46" s="153" t="s">
        <v>538</v>
      </c>
      <c r="F46" s="153">
        <f>HearingAids[[#This Row],[haMSRP]]-((HearingAids[[#This Row],[ListPriceBinural]]-HearingAids[[#This Row],[chargerPrice]])/2)</f>
        <v>1256.5</v>
      </c>
      <c r="G46" s="154">
        <f>HearingAids[[#This Row],[haMSRP]]-HearingAids[[#This Row],[Discount Amount 1]]</f>
        <v>4562.5</v>
      </c>
      <c r="H46" s="103">
        <v>9450</v>
      </c>
      <c r="I46" s="155" t="s">
        <v>626</v>
      </c>
      <c r="J46" s="2">
        <f>(HearingAids[[#This Row],[haMSRP]]-HearingAids[[#This Row],[Discount Amount 1]])-(HearingAids[[#This Row],[haNetPriceBinural]]-HearingAids[[#This Row],[chargerPrice]])/2</f>
        <v>750</v>
      </c>
      <c r="K46" s="157">
        <f>HearingAids[[#This Row],[HAListPrice]]-HearingAids[[#This Row],[Discount Amount 2]]</f>
        <v>3812.5</v>
      </c>
      <c r="L46" s="164">
        <v>7950</v>
      </c>
      <c r="M46" s="156"/>
      <c r="N46" s="157"/>
      <c r="O46" s="157"/>
      <c r="P46" s="156"/>
      <c r="Q46" s="158">
        <v>1</v>
      </c>
      <c r="R46" s="158" t="s">
        <v>13</v>
      </c>
      <c r="S46" s="158">
        <v>325</v>
      </c>
      <c r="T46" s="159" t="s">
        <v>14</v>
      </c>
      <c r="U46" s="160">
        <v>0</v>
      </c>
      <c r="V46" s="153" t="s">
        <v>11</v>
      </c>
      <c r="Y46" s="25"/>
      <c r="Z46" s="25"/>
      <c r="AA46" s="25"/>
      <c r="AB46"/>
      <c r="AC46"/>
      <c r="AD46"/>
      <c r="AE46"/>
    </row>
    <row r="47" spans="1:31" ht="12.75">
      <c r="A47" s="150" t="s">
        <v>498</v>
      </c>
      <c r="B47" s="151" t="s">
        <v>505</v>
      </c>
      <c r="C47" s="152">
        <f>(HearingAids[[#This Row],[haMSRP]]*2)+HearingAids[[#This Row],[chargerPrice]]</f>
        <v>7703</v>
      </c>
      <c r="D47" s="153">
        <v>3689</v>
      </c>
      <c r="E47" s="153" t="s">
        <v>538</v>
      </c>
      <c r="F47" s="153">
        <f>HearingAids[[#This Row],[haMSRP]]-((HearingAids[[#This Row],[ListPriceBinural]]-HearingAids[[#This Row],[chargerPrice]])/2)</f>
        <v>326.5</v>
      </c>
      <c r="G47" s="154">
        <f>HearingAids[[#This Row],[haMSRP]]-HearingAids[[#This Row],[Discount Amount 1]]</f>
        <v>3362.5</v>
      </c>
      <c r="H47" s="103">
        <v>7050</v>
      </c>
      <c r="I47" s="155" t="s">
        <v>627</v>
      </c>
      <c r="J47" s="2">
        <f>(HearingAids[[#This Row],[haMSRP]]-HearingAids[[#This Row],[Discount Amount 1]])-(HearingAids[[#This Row],[haNetPriceBinural]]-HearingAids[[#This Row],[chargerPrice]])/2</f>
        <v>700</v>
      </c>
      <c r="K47" s="157">
        <f>HearingAids[[#This Row],[HAListPrice]]-HearingAids[[#This Row],[Discount Amount 2]]</f>
        <v>2662.5</v>
      </c>
      <c r="L47" s="164">
        <v>5650</v>
      </c>
      <c r="M47" s="156"/>
      <c r="N47" s="157"/>
      <c r="O47" s="157"/>
      <c r="P47" s="156"/>
      <c r="Q47" s="158">
        <v>1</v>
      </c>
      <c r="R47" s="158" t="s">
        <v>13</v>
      </c>
      <c r="S47" s="158">
        <v>325</v>
      </c>
      <c r="T47" s="159" t="s">
        <v>14</v>
      </c>
      <c r="U47" s="160">
        <v>0</v>
      </c>
      <c r="V47" s="153" t="s">
        <v>11</v>
      </c>
      <c r="Y47" s="25"/>
      <c r="Z47" s="25"/>
      <c r="AA47" s="25"/>
      <c r="AB47"/>
      <c r="AC47"/>
      <c r="AD47"/>
      <c r="AE47"/>
    </row>
    <row r="48" spans="1:31" ht="12.75">
      <c r="A48" s="150" t="s">
        <v>497</v>
      </c>
      <c r="B48" s="151" t="s">
        <v>504</v>
      </c>
      <c r="C48" s="152">
        <f>(HearingAids[[#This Row],[haMSRP]]*2)+HearingAids[[#This Row],[chargerPrice]]</f>
        <v>9683</v>
      </c>
      <c r="D48" s="153">
        <v>4679</v>
      </c>
      <c r="E48" s="153" t="s">
        <v>538</v>
      </c>
      <c r="F48" s="153">
        <f>HearingAids[[#This Row],[haMSRP]]-((HearingAids[[#This Row],[ListPriceBinural]]-HearingAids[[#This Row],[chargerPrice]])/2)</f>
        <v>666.5</v>
      </c>
      <c r="G48" s="154">
        <f>HearingAids[[#This Row],[haMSRP]]-HearingAids[[#This Row],[Discount Amount 1]]</f>
        <v>4012.5</v>
      </c>
      <c r="H48" s="103">
        <v>8350</v>
      </c>
      <c r="I48" s="155" t="s">
        <v>628</v>
      </c>
      <c r="J48" s="2">
        <f>(HearingAids[[#This Row],[haMSRP]]-HearingAids[[#This Row],[Discount Amount 1]])-(HearingAids[[#This Row],[haNetPriceBinural]]-HearingAids[[#This Row],[chargerPrice]])/2</f>
        <v>700</v>
      </c>
      <c r="K48" s="157">
        <f>HearingAids[[#This Row],[HAListPrice]]-HearingAids[[#This Row],[Discount Amount 2]]</f>
        <v>3312.5</v>
      </c>
      <c r="L48" s="164">
        <v>6950</v>
      </c>
      <c r="M48" s="156"/>
      <c r="N48" s="157"/>
      <c r="O48" s="157"/>
      <c r="P48" s="156"/>
      <c r="Q48" s="158">
        <v>1</v>
      </c>
      <c r="R48" s="158" t="s">
        <v>13</v>
      </c>
      <c r="S48" s="158">
        <v>325</v>
      </c>
      <c r="T48" s="159" t="s">
        <v>14</v>
      </c>
      <c r="U48" s="160">
        <v>0</v>
      </c>
      <c r="V48" s="153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100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61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100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61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2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100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61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2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100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61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2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100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61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2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100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61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9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61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38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1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62">
        <v>3500</v>
      </c>
      <c r="M56" s="22"/>
      <c r="N56" s="22"/>
      <c r="O56" s="22"/>
      <c r="P56" s="39"/>
      <c r="Q56" s="40">
        <v>1</v>
      </c>
      <c r="R56" s="105" t="s">
        <v>9</v>
      </c>
      <c r="S56" s="39">
        <v>225</v>
      </c>
      <c r="T56" s="41" t="s">
        <v>14</v>
      </c>
      <c r="U56" s="42">
        <v>0</v>
      </c>
      <c r="V56" s="38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9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61">
        <v>5050</v>
      </c>
      <c r="M57" s="39"/>
      <c r="N57" s="39"/>
      <c r="O57" s="39"/>
      <c r="P57" s="39"/>
      <c r="Q57" s="40">
        <v>1</v>
      </c>
      <c r="R57" s="108" t="s">
        <v>9</v>
      </c>
      <c r="S57" s="39">
        <v>225</v>
      </c>
      <c r="T57" s="41" t="s">
        <v>14</v>
      </c>
      <c r="U57" s="42">
        <v>0</v>
      </c>
      <c r="V57" s="38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100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61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38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1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100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61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38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1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100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61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38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9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61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2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9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61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2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9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61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2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9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61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2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9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61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2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9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61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9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61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2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9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61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2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9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61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9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61">
        <v>3500</v>
      </c>
      <c r="M70" s="39"/>
      <c r="N70" s="39"/>
      <c r="O70" s="39"/>
      <c r="P70" s="39"/>
      <c r="Q70" s="23">
        <v>1</v>
      </c>
      <c r="R70" s="106" t="s">
        <v>9</v>
      </c>
      <c r="S70" s="22">
        <v>225</v>
      </c>
      <c r="T70" s="24" t="s">
        <v>26</v>
      </c>
      <c r="U70" s="25">
        <v>0</v>
      </c>
      <c r="V70" s="25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9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61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2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9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61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2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9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61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2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9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61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9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61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9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61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2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9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61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2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9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61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9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61">
        <v>5050</v>
      </c>
      <c r="M79" s="39"/>
      <c r="N79" s="39"/>
      <c r="O79" s="39"/>
      <c r="P79" s="39"/>
      <c r="Q79" s="15">
        <v>1</v>
      </c>
      <c r="R79" s="107" t="s">
        <v>9</v>
      </c>
      <c r="S79" s="22">
        <v>225</v>
      </c>
      <c r="T79" s="10" t="s">
        <v>26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9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61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2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9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61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2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9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61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2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9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61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9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61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9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61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2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9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61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2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9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61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2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100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61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100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61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100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61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5" t="s">
        <v>619</v>
      </c>
      <c r="B91" s="3" t="s">
        <v>620</v>
      </c>
      <c r="C91" s="55">
        <f>(HearingAids[[#This Row],[haMSRP]]*2)+HearingAids[[#This Row],[chargerPrice]]</f>
        <v>11863</v>
      </c>
      <c r="D91" s="119">
        <v>5819</v>
      </c>
      <c r="E91" s="119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100">
        <v>9450</v>
      </c>
      <c r="I91" s="125" t="s">
        <v>177</v>
      </c>
      <c r="J91" s="2"/>
      <c r="K91" s="2">
        <f>HearingAids[[#This Row],[HAListPrice]]-HearingAids[[#This Row],[Discount Amount 2]]</f>
        <v>4612.5</v>
      </c>
      <c r="L91" s="161">
        <v>9450</v>
      </c>
      <c r="M91" s="119"/>
      <c r="N91" s="2"/>
      <c r="O91" s="119"/>
      <c r="P91" s="119"/>
      <c r="Q91" s="132">
        <v>1</v>
      </c>
      <c r="R91" s="108" t="s">
        <v>9</v>
      </c>
      <c r="S91" s="22">
        <v>225</v>
      </c>
      <c r="T91" s="140" t="s">
        <v>14</v>
      </c>
      <c r="U91" s="140">
        <v>0</v>
      </c>
      <c r="V91" s="119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15" t="s">
        <v>617</v>
      </c>
      <c r="B92" s="3" t="s">
        <v>618</v>
      </c>
      <c r="C92" s="55">
        <f>(HearingAids[[#This Row],[haMSRP]]*2)+HearingAids[[#This Row],[chargerPrice]]</f>
        <v>6283</v>
      </c>
      <c r="D92" s="119">
        <v>3029</v>
      </c>
      <c r="E92" s="119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100">
        <v>5050</v>
      </c>
      <c r="I92" s="125" t="s">
        <v>177</v>
      </c>
      <c r="J92" s="2"/>
      <c r="K92" s="2">
        <f>HearingAids[[#This Row],[HAListPrice]]-HearingAids[[#This Row],[Discount Amount 2]]</f>
        <v>2412.5</v>
      </c>
      <c r="L92" s="161">
        <v>5050</v>
      </c>
      <c r="M92" s="119"/>
      <c r="N92" s="2"/>
      <c r="O92" s="119"/>
      <c r="P92" s="119"/>
      <c r="Q92" s="132">
        <v>1</v>
      </c>
      <c r="R92" s="108" t="s">
        <v>9</v>
      </c>
      <c r="S92" s="22">
        <v>225</v>
      </c>
      <c r="T92" s="140"/>
      <c r="U92" s="140"/>
      <c r="V92" s="119"/>
      <c r="W92" s="7"/>
      <c r="Y92" s="25"/>
      <c r="Z92" s="25"/>
      <c r="AA92" s="25"/>
      <c r="AB92"/>
      <c r="AC92"/>
      <c r="AD92"/>
      <c r="AE92"/>
    </row>
    <row r="93" spans="1:31" ht="12.75">
      <c r="A93" s="115" t="s">
        <v>623</v>
      </c>
      <c r="B93" s="3" t="s">
        <v>622</v>
      </c>
      <c r="C93" s="55">
        <f>(HearingAids[[#This Row],[haMSRP]]*2)+HearingAids[[#This Row],[chargerPrice]]</f>
        <v>9583</v>
      </c>
      <c r="D93" s="119">
        <v>4679</v>
      </c>
      <c r="E93" s="119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100">
        <v>7050</v>
      </c>
      <c r="I93" s="125" t="s">
        <v>177</v>
      </c>
      <c r="J93" s="2"/>
      <c r="K93" s="2">
        <f>HearingAids[[#This Row],[HAListPrice]]-HearingAids[[#This Row],[Discount Amount 2]]</f>
        <v>3412.5</v>
      </c>
      <c r="L93" s="161">
        <v>7050</v>
      </c>
      <c r="M93" s="119"/>
      <c r="N93" s="2"/>
      <c r="O93" s="119"/>
      <c r="P93" s="119"/>
      <c r="Q93" s="132">
        <v>1</v>
      </c>
      <c r="R93" s="108" t="s">
        <v>9</v>
      </c>
      <c r="S93" s="22">
        <v>225</v>
      </c>
      <c r="T93" s="140" t="s">
        <v>14</v>
      </c>
      <c r="U93" s="140">
        <v>0</v>
      </c>
      <c r="V93" s="119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5" t="s">
        <v>621</v>
      </c>
      <c r="B94" s="3" t="s">
        <v>624</v>
      </c>
      <c r="C94" s="55">
        <f>(HearingAids[[#This Row],[haMSRP]]*2)+HearingAids[[#This Row],[chargerPrice]]</f>
        <v>7603</v>
      </c>
      <c r="D94" s="119">
        <v>3689</v>
      </c>
      <c r="E94" s="119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100">
        <v>8350</v>
      </c>
      <c r="I94" s="125" t="s">
        <v>177</v>
      </c>
      <c r="J94" s="2"/>
      <c r="K94" s="2">
        <f>HearingAids[[#This Row],[HAListPrice]]-HearingAids[[#This Row],[Discount Amount 2]]</f>
        <v>4062.5</v>
      </c>
      <c r="L94" s="161">
        <v>8350</v>
      </c>
      <c r="M94" s="119"/>
      <c r="N94" s="2"/>
      <c r="O94" s="119"/>
      <c r="P94" s="119"/>
      <c r="Q94" s="132">
        <v>1</v>
      </c>
      <c r="R94" s="108" t="s">
        <v>9</v>
      </c>
      <c r="S94" s="22">
        <v>225</v>
      </c>
      <c r="T94" s="140" t="s">
        <v>14</v>
      </c>
      <c r="U94" s="140">
        <v>0</v>
      </c>
      <c r="V94" s="119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1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62">
        <v>3390</v>
      </c>
      <c r="M95" s="2"/>
      <c r="N95" s="2"/>
      <c r="O95" s="2"/>
      <c r="P95" s="22"/>
      <c r="Q95" s="23">
        <v>1</v>
      </c>
      <c r="R95" s="106" t="s">
        <v>9</v>
      </c>
      <c r="S95" s="22">
        <v>225</v>
      </c>
      <c r="T95" s="24" t="s">
        <v>26</v>
      </c>
      <c r="U95" s="25">
        <v>0</v>
      </c>
      <c r="V95" s="25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100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61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2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100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61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100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61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1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62">
        <v>3390</v>
      </c>
      <c r="M99" s="2"/>
      <c r="N99" s="2"/>
      <c r="O99" s="2"/>
      <c r="P99" s="22"/>
      <c r="Q99" s="23">
        <v>1</v>
      </c>
      <c r="R99" s="106" t="s">
        <v>9</v>
      </c>
      <c r="S99" s="22">
        <v>225</v>
      </c>
      <c r="T99" s="24" t="s">
        <v>26</v>
      </c>
      <c r="U99" s="25">
        <v>0</v>
      </c>
      <c r="V99" s="25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100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61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100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61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100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61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2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1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62">
        <v>3390</v>
      </c>
      <c r="M103" s="2"/>
      <c r="N103" s="2"/>
      <c r="O103" s="2"/>
      <c r="P103" s="22"/>
      <c r="Q103" s="23">
        <v>1</v>
      </c>
      <c r="R103" s="106" t="s">
        <v>9</v>
      </c>
      <c r="S103" s="22">
        <v>225</v>
      </c>
      <c r="T103" s="24" t="s">
        <v>26</v>
      </c>
      <c r="U103" s="25">
        <v>0</v>
      </c>
      <c r="V103" s="25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100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61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100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61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100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61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1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62">
        <v>3390</v>
      </c>
      <c r="M107" s="2"/>
      <c r="N107" s="2"/>
      <c r="O107" s="2"/>
      <c r="P107" s="22"/>
      <c r="Q107" s="15">
        <v>1</v>
      </c>
      <c r="R107" s="107" t="s">
        <v>9</v>
      </c>
      <c r="S107" s="22">
        <v>225</v>
      </c>
      <c r="T107" s="10" t="s">
        <v>26</v>
      </c>
      <c r="U107" s="10">
        <v>0</v>
      </c>
      <c r="V107" s="8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100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61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2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100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61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100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61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100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61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100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61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100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61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100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61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100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61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100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61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100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61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38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100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61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38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100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61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38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100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61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100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61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100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61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2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5" t="s">
        <v>619</v>
      </c>
      <c r="B123" s="3" t="s">
        <v>620</v>
      </c>
      <c r="C123" s="55">
        <f>(HearingAids[[#This Row],[haMSRP]]*2)+HearingAids[[#This Row],[chargerPrice]]</f>
        <v>11863</v>
      </c>
      <c r="D123" s="119">
        <v>5819</v>
      </c>
      <c r="E123" s="119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100">
        <v>9450</v>
      </c>
      <c r="I123" s="125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61">
        <v>8450</v>
      </c>
      <c r="M123" s="119"/>
      <c r="N123" s="2"/>
      <c r="O123" s="119"/>
      <c r="P123" s="119"/>
      <c r="Q123" s="132">
        <v>1</v>
      </c>
      <c r="R123" s="108" t="s">
        <v>9</v>
      </c>
      <c r="S123" s="22">
        <v>225</v>
      </c>
      <c r="T123" s="140" t="s">
        <v>14</v>
      </c>
      <c r="U123" s="140">
        <v>0</v>
      </c>
      <c r="V123" s="119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5" t="s">
        <v>621</v>
      </c>
      <c r="B124" s="3" t="s">
        <v>622</v>
      </c>
      <c r="C124" s="55">
        <f>(HearingAids[[#This Row],[haMSRP]]*2)+HearingAids[[#This Row],[chargerPrice]]</f>
        <v>7603</v>
      </c>
      <c r="D124" s="119">
        <v>3689</v>
      </c>
      <c r="E124" s="119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100">
        <v>7050</v>
      </c>
      <c r="I124" s="125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61">
        <v>6050</v>
      </c>
      <c r="M124" s="119"/>
      <c r="N124" s="2"/>
      <c r="O124" s="119"/>
      <c r="P124" s="119"/>
      <c r="Q124" s="132">
        <v>1</v>
      </c>
      <c r="R124" s="108" t="s">
        <v>9</v>
      </c>
      <c r="S124" s="22">
        <v>225</v>
      </c>
      <c r="T124" s="140" t="s">
        <v>14</v>
      </c>
      <c r="U124" s="140">
        <v>0</v>
      </c>
      <c r="V124" s="119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5" t="s">
        <v>623</v>
      </c>
      <c r="B125" s="3" t="s">
        <v>624</v>
      </c>
      <c r="C125" s="55">
        <f>(HearingAids[[#This Row],[haMSRP]]*2)+HearingAids[[#This Row],[chargerPrice]]</f>
        <v>9583</v>
      </c>
      <c r="D125" s="119">
        <v>4679</v>
      </c>
      <c r="E125" s="119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100">
        <v>8350</v>
      </c>
      <c r="I125" s="125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61">
        <v>7350</v>
      </c>
      <c r="M125" s="119"/>
      <c r="N125" s="2"/>
      <c r="O125" s="119"/>
      <c r="P125" s="119"/>
      <c r="Q125" s="132">
        <v>1</v>
      </c>
      <c r="R125" s="108" t="s">
        <v>9</v>
      </c>
      <c r="S125" s="22">
        <v>225</v>
      </c>
      <c r="T125" s="140" t="s">
        <v>14</v>
      </c>
      <c r="U125" s="140">
        <v>0</v>
      </c>
      <c r="V125" s="119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1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62">
        <v>3390</v>
      </c>
      <c r="M126" s="2"/>
      <c r="N126" s="2"/>
      <c r="O126" s="2"/>
      <c r="P126" s="22"/>
      <c r="Q126" s="23">
        <v>1</v>
      </c>
      <c r="R126" s="106" t="s">
        <v>9</v>
      </c>
      <c r="S126" s="22">
        <v>225</v>
      </c>
      <c r="T126" s="24" t="s">
        <v>26</v>
      </c>
      <c r="U126" s="25">
        <v>0</v>
      </c>
      <c r="V126" s="25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100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61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100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61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100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61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1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62">
        <v>3390</v>
      </c>
      <c r="M130" s="2"/>
      <c r="N130" s="2"/>
      <c r="O130" s="2"/>
      <c r="P130" s="22"/>
      <c r="Q130" s="23">
        <v>1</v>
      </c>
      <c r="R130" s="106" t="s">
        <v>9</v>
      </c>
      <c r="S130" s="22">
        <v>225</v>
      </c>
      <c r="T130" s="24" t="s">
        <v>26</v>
      </c>
      <c r="U130" s="25">
        <v>0</v>
      </c>
      <c r="V130" s="25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100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61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100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61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100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61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100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61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25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100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61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25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100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61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25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5" t="s">
        <v>619</v>
      </c>
      <c r="B137" s="3" t="s">
        <v>620</v>
      </c>
      <c r="C137" s="55">
        <f>(HearingAids[[#This Row],[haMSRP]]*2)+HearingAids[[#This Row],[chargerPrice]]</f>
        <v>11863</v>
      </c>
      <c r="D137" s="119">
        <v>5819</v>
      </c>
      <c r="E137" s="119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100">
        <v>9450</v>
      </c>
      <c r="I137" s="125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61">
        <v>7600</v>
      </c>
      <c r="M137" s="92"/>
      <c r="N137" s="2"/>
      <c r="O137" s="125"/>
      <c r="P137" s="119"/>
      <c r="Q137" s="132">
        <v>1</v>
      </c>
      <c r="R137" s="108" t="s">
        <v>9</v>
      </c>
      <c r="S137" s="22">
        <v>225</v>
      </c>
      <c r="T137" s="140" t="s">
        <v>14</v>
      </c>
      <c r="U137" s="140">
        <v>0</v>
      </c>
      <c r="V137" s="119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5" t="s">
        <v>621</v>
      </c>
      <c r="B138" s="3" t="s">
        <v>622</v>
      </c>
      <c r="C138" s="55">
        <f>(HearingAids[[#This Row],[haMSRP]]*2)+HearingAids[[#This Row],[chargerPrice]]</f>
        <v>7603</v>
      </c>
      <c r="D138" s="119">
        <v>3689</v>
      </c>
      <c r="E138" s="119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100">
        <v>7050</v>
      </c>
      <c r="I138" s="125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61">
        <v>5800</v>
      </c>
      <c r="M138" s="92"/>
      <c r="N138" s="2"/>
      <c r="O138" s="125"/>
      <c r="P138" s="119"/>
      <c r="Q138" s="132">
        <v>1</v>
      </c>
      <c r="R138" s="108" t="s">
        <v>9</v>
      </c>
      <c r="S138" s="22">
        <v>225</v>
      </c>
      <c r="T138" s="140" t="s">
        <v>14</v>
      </c>
      <c r="U138" s="140">
        <v>0</v>
      </c>
      <c r="V138" s="119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3" t="s">
        <v>624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100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61">
        <v>6600</v>
      </c>
      <c r="M139" s="92"/>
      <c r="N139" s="119"/>
      <c r="O139" s="92"/>
      <c r="P139" s="91"/>
      <c r="Q139" s="93">
        <v>1</v>
      </c>
      <c r="R139" s="109" t="s">
        <v>9</v>
      </c>
      <c r="S139" s="22">
        <v>225</v>
      </c>
      <c r="T139" s="94" t="s">
        <v>14</v>
      </c>
      <c r="U139" s="94">
        <v>0</v>
      </c>
      <c r="V139" s="95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8" t="s">
        <v>500</v>
      </c>
      <c r="B140" s="46" t="s">
        <v>507</v>
      </c>
      <c r="C140" s="52">
        <f>(HearingAids[[#This Row],[haMSRP]]*2)+HearingAids[[#This Row],[chargerPrice]]</f>
        <v>4903</v>
      </c>
      <c r="D140" s="120">
        <v>2339</v>
      </c>
      <c r="E140" s="123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1">
        <v>3500</v>
      </c>
      <c r="I140" s="126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62">
        <v>3390</v>
      </c>
      <c r="M140" s="64"/>
      <c r="N140" s="2"/>
      <c r="O140" s="64"/>
      <c r="P140" s="131"/>
      <c r="Q140" s="133">
        <v>1</v>
      </c>
      <c r="R140" s="138" t="s">
        <v>9</v>
      </c>
      <c r="S140" s="22">
        <v>225</v>
      </c>
      <c r="T140" s="143" t="s">
        <v>26</v>
      </c>
      <c r="U140" s="145">
        <v>0</v>
      </c>
      <c r="V140" s="146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6" t="s">
        <v>413</v>
      </c>
      <c r="B141" s="36" t="s">
        <v>416</v>
      </c>
      <c r="C141" s="53">
        <f>(HearingAids[[#This Row],[haMSRP]]*2)+HearingAids[[#This Row],[chargerPrice]]</f>
        <v>11963</v>
      </c>
      <c r="D141" s="120">
        <v>5819</v>
      </c>
      <c r="E141" s="123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100">
        <v>9450</v>
      </c>
      <c r="I141" s="126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61">
        <v>6690</v>
      </c>
      <c r="M141" s="64"/>
      <c r="N141" s="2"/>
      <c r="O141" s="64"/>
      <c r="P141" s="64"/>
      <c r="Q141" s="133">
        <v>1</v>
      </c>
      <c r="R141" s="64" t="s">
        <v>13</v>
      </c>
      <c r="S141" s="39">
        <v>325</v>
      </c>
      <c r="T141" s="141" t="s">
        <v>14</v>
      </c>
      <c r="U141" s="64">
        <v>0</v>
      </c>
      <c r="V141" s="146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6" t="s">
        <v>414</v>
      </c>
      <c r="B142" s="3" t="s">
        <v>417</v>
      </c>
      <c r="C142" s="55">
        <f>(HearingAids[[#This Row],[haMSRP]]*2)+HearingAids[[#This Row],[chargerPrice]]</f>
        <v>7703</v>
      </c>
      <c r="D142" s="120">
        <v>3689</v>
      </c>
      <c r="E142" s="123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100">
        <v>7050</v>
      </c>
      <c r="I142" s="126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61">
        <v>4890</v>
      </c>
      <c r="M142" s="64"/>
      <c r="N142" s="2"/>
      <c r="O142" s="64"/>
      <c r="P142" s="64"/>
      <c r="Q142" s="133">
        <v>1</v>
      </c>
      <c r="R142" s="64" t="s">
        <v>13</v>
      </c>
      <c r="S142" s="39">
        <v>325</v>
      </c>
      <c r="T142" s="141" t="s">
        <v>14</v>
      </c>
      <c r="U142" s="64">
        <v>0</v>
      </c>
      <c r="V142" s="146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6" t="s">
        <v>415</v>
      </c>
      <c r="B143" s="3" t="s">
        <v>418</v>
      </c>
      <c r="C143" s="55">
        <f>(HearingAids[[#This Row],[haMSRP]]*2)+HearingAids[[#This Row],[chargerPrice]]</f>
        <v>9683</v>
      </c>
      <c r="D143" s="120">
        <v>4679</v>
      </c>
      <c r="E143" s="123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100">
        <v>7350</v>
      </c>
      <c r="I143" s="126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61">
        <v>5690</v>
      </c>
      <c r="M143" s="64"/>
      <c r="N143" s="2"/>
      <c r="O143" s="64"/>
      <c r="P143" s="64"/>
      <c r="Q143" s="133">
        <v>1</v>
      </c>
      <c r="R143" s="64" t="s">
        <v>13</v>
      </c>
      <c r="S143" s="39">
        <v>325</v>
      </c>
      <c r="T143" s="141" t="s">
        <v>14</v>
      </c>
      <c r="U143" s="64">
        <v>0</v>
      </c>
      <c r="V143" s="146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8" t="s">
        <v>500</v>
      </c>
      <c r="B144" s="46" t="s">
        <v>507</v>
      </c>
      <c r="C144" s="52">
        <f>(HearingAids[[#This Row],[haMSRP]]*2)+HearingAids[[#This Row],[chargerPrice]]</f>
        <v>4903</v>
      </c>
      <c r="D144" s="120">
        <v>2339</v>
      </c>
      <c r="E144" s="123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1">
        <v>3500</v>
      </c>
      <c r="I144" s="128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62">
        <v>3390</v>
      </c>
      <c r="M144" s="64"/>
      <c r="N144" s="2"/>
      <c r="O144" s="64"/>
      <c r="P144" s="131"/>
      <c r="Q144" s="136">
        <v>1</v>
      </c>
      <c r="R144" s="139" t="s">
        <v>9</v>
      </c>
      <c r="S144" s="22">
        <v>225</v>
      </c>
      <c r="T144" s="144" t="s">
        <v>26</v>
      </c>
      <c r="U144" s="33">
        <v>0</v>
      </c>
      <c r="V144" s="149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6" t="s">
        <v>413</v>
      </c>
      <c r="B145" s="36" t="s">
        <v>416</v>
      </c>
      <c r="C145" s="53">
        <f>(HearingAids[[#This Row],[haMSRP]]*2)+HearingAids[[#This Row],[chargerPrice]]</f>
        <v>11963</v>
      </c>
      <c r="D145" s="120">
        <v>5819</v>
      </c>
      <c r="E145" s="123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100">
        <v>9450</v>
      </c>
      <c r="I145" s="128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61">
        <v>6690</v>
      </c>
      <c r="M145" s="64"/>
      <c r="N145" s="2"/>
      <c r="O145" s="64"/>
      <c r="P145" s="64"/>
      <c r="Q145" s="133">
        <v>1</v>
      </c>
      <c r="R145" s="64" t="s">
        <v>13</v>
      </c>
      <c r="S145" s="39">
        <v>325</v>
      </c>
      <c r="T145" s="141" t="s">
        <v>14</v>
      </c>
      <c r="U145" s="64">
        <v>0</v>
      </c>
      <c r="V145" s="146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6" t="s">
        <v>414</v>
      </c>
      <c r="B146" s="3" t="s">
        <v>417</v>
      </c>
      <c r="C146" s="55">
        <f>(HearingAids[[#This Row],[haMSRP]]*2)+HearingAids[[#This Row],[chargerPrice]]</f>
        <v>7703</v>
      </c>
      <c r="D146" s="120">
        <v>3689</v>
      </c>
      <c r="E146" s="123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100">
        <v>7050</v>
      </c>
      <c r="I146" s="128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61">
        <v>4890</v>
      </c>
      <c r="M146" s="64"/>
      <c r="N146" s="2"/>
      <c r="O146" s="64"/>
      <c r="P146" s="64"/>
      <c r="Q146" s="133">
        <v>1</v>
      </c>
      <c r="R146" s="64" t="s">
        <v>13</v>
      </c>
      <c r="S146" s="39">
        <v>325</v>
      </c>
      <c r="T146" s="141" t="s">
        <v>14</v>
      </c>
      <c r="U146" s="64">
        <v>0</v>
      </c>
      <c r="V146" s="146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6" t="s">
        <v>415</v>
      </c>
      <c r="B147" s="3" t="s">
        <v>418</v>
      </c>
      <c r="C147" s="55">
        <f>(HearingAids[[#This Row],[haMSRP]]*2)+HearingAids[[#This Row],[chargerPrice]]</f>
        <v>9683</v>
      </c>
      <c r="D147" s="120">
        <v>4679</v>
      </c>
      <c r="E147" s="123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100">
        <v>8350</v>
      </c>
      <c r="I147" s="128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61">
        <v>5690</v>
      </c>
      <c r="M147" s="64"/>
      <c r="N147" s="2"/>
      <c r="O147" s="64"/>
      <c r="P147" s="64"/>
      <c r="Q147" s="133">
        <v>1</v>
      </c>
      <c r="R147" s="64" t="s">
        <v>13</v>
      </c>
      <c r="S147" s="39">
        <v>325</v>
      </c>
      <c r="T147" s="141" t="s">
        <v>14</v>
      </c>
      <c r="U147" s="64">
        <v>0</v>
      </c>
      <c r="V147" s="146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7" t="s">
        <v>500</v>
      </c>
      <c r="B148" s="3" t="s">
        <v>507</v>
      </c>
      <c r="C148" s="96">
        <f>(HearingAids[[#This Row],[haMSRP]]*2)+HearingAids[[#This Row],[chargerPrice]]</f>
        <v>4903</v>
      </c>
      <c r="D148" s="121">
        <v>2339</v>
      </c>
      <c r="E148" s="121" t="s">
        <v>538</v>
      </c>
      <c r="F148" s="97">
        <f>HearingAids[[#This Row],[haMSRP]]-((HearingAids[[#This Row],[ListPriceBinural]]-HearingAids[[#This Row],[chargerPrice]])/2)</f>
        <v>701.5</v>
      </c>
      <c r="G148" s="97">
        <f>HearingAids[[#This Row],[haMSRP]]-HearingAids[[#This Row],[Discount Amount 1]]</f>
        <v>1637.5</v>
      </c>
      <c r="H148" s="102">
        <v>3500</v>
      </c>
      <c r="I148" s="127" t="s">
        <v>625</v>
      </c>
      <c r="J148" s="98">
        <f>(HearingAids[[#This Row],[haMSRP]]-HearingAids[[#This Row],[Discount Amount 1]])-(HearingAids[[#This Row],[haNetPriceBinural]]-HearingAids[[#This Row],[chargerPrice]])/2</f>
        <v>55</v>
      </c>
      <c r="K148" s="98">
        <f>HearingAids[[#This Row],[HAListPrice]]-HearingAids[[#This Row],[Discount Amount 2]]</f>
        <v>1582.5</v>
      </c>
      <c r="L148" s="163">
        <v>3390</v>
      </c>
      <c r="M148" s="121"/>
      <c r="N148" s="98"/>
      <c r="O148" s="121"/>
      <c r="P148" s="121"/>
      <c r="Q148" s="134">
        <v>1</v>
      </c>
      <c r="R148" s="137" t="s">
        <v>9</v>
      </c>
      <c r="S148" s="22">
        <v>225</v>
      </c>
      <c r="T148" s="142" t="s">
        <v>26</v>
      </c>
      <c r="U148" s="142">
        <v>0</v>
      </c>
      <c r="V148" s="14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7" t="s">
        <v>413</v>
      </c>
      <c r="B149" s="3" t="s">
        <v>416</v>
      </c>
      <c r="C149" s="96">
        <f>(HearingAids[[#This Row],[haMSRP]]*2)+HearingAids[[#This Row],[chargerPrice]]</f>
        <v>11963</v>
      </c>
      <c r="D149" s="121">
        <v>5819</v>
      </c>
      <c r="E149" s="121" t="s">
        <v>538</v>
      </c>
      <c r="F149" s="97">
        <f>HearingAids[[#This Row],[haMSRP]]-((HearingAids[[#This Row],[ListPriceBinural]]-HearingAids[[#This Row],[chargerPrice]])/2)</f>
        <v>1256.5</v>
      </c>
      <c r="G149" s="97">
        <f>HearingAids[[#This Row],[haMSRP]]-HearingAids[[#This Row],[Discount Amount 1]]</f>
        <v>4562.5</v>
      </c>
      <c r="H149" s="103">
        <v>9450</v>
      </c>
      <c r="I149" s="127" t="s">
        <v>625</v>
      </c>
      <c r="J149" s="98">
        <f>(HearingAids[[#This Row],[haMSRP]]-HearingAids[[#This Row],[Discount Amount 1]])-(HearingAids[[#This Row],[haNetPriceBinural]]-HearingAids[[#This Row],[chargerPrice]])/2</f>
        <v>1380</v>
      </c>
      <c r="K149" s="98">
        <f>HearingAids[[#This Row],[HAListPrice]]-HearingAids[[#This Row],[Discount Amount 2]]</f>
        <v>3182.5</v>
      </c>
      <c r="L149" s="164">
        <v>6690</v>
      </c>
      <c r="M149" s="121"/>
      <c r="N149" s="98"/>
      <c r="O149" s="121"/>
      <c r="P149" s="121"/>
      <c r="Q149" s="134">
        <v>1</v>
      </c>
      <c r="R149" s="134" t="s">
        <v>13</v>
      </c>
      <c r="S149" s="39">
        <v>325</v>
      </c>
      <c r="T149" s="142" t="s">
        <v>14</v>
      </c>
      <c r="U149" s="142">
        <v>0</v>
      </c>
      <c r="V149" s="14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7" t="s">
        <v>414</v>
      </c>
      <c r="B150" s="3" t="s">
        <v>417</v>
      </c>
      <c r="C150" s="96">
        <f>(HearingAids[[#This Row],[haMSRP]]*2)+HearingAids[[#This Row],[chargerPrice]]</f>
        <v>7703</v>
      </c>
      <c r="D150" s="121">
        <v>3689</v>
      </c>
      <c r="E150" s="121" t="s">
        <v>538</v>
      </c>
      <c r="F150" s="97">
        <f>HearingAids[[#This Row],[haMSRP]]-((HearingAids[[#This Row],[ListPriceBinural]]-HearingAids[[#This Row],[chargerPrice]])/2)</f>
        <v>326.5</v>
      </c>
      <c r="G150" s="97">
        <f>HearingAids[[#This Row],[haMSRP]]-HearingAids[[#This Row],[Discount Amount 1]]</f>
        <v>3362.5</v>
      </c>
      <c r="H150" s="103">
        <v>7050</v>
      </c>
      <c r="I150" s="127" t="s">
        <v>625</v>
      </c>
      <c r="J150" s="98">
        <f>(HearingAids[[#This Row],[haMSRP]]-HearingAids[[#This Row],[Discount Amount 1]])-(HearingAids[[#This Row],[haNetPriceBinural]]-HearingAids[[#This Row],[chargerPrice]])/2</f>
        <v>1080</v>
      </c>
      <c r="K150" s="98">
        <f>HearingAids[[#This Row],[HAListPrice]]-HearingAids[[#This Row],[Discount Amount 2]]</f>
        <v>2282.5</v>
      </c>
      <c r="L150" s="164">
        <v>4890</v>
      </c>
      <c r="M150" s="121"/>
      <c r="N150" s="98"/>
      <c r="O150" s="121"/>
      <c r="P150" s="121"/>
      <c r="Q150" s="134">
        <v>1</v>
      </c>
      <c r="R150" s="134" t="s">
        <v>13</v>
      </c>
      <c r="S150" s="39">
        <v>325</v>
      </c>
      <c r="T150" s="142" t="s">
        <v>14</v>
      </c>
      <c r="U150" s="142">
        <v>0</v>
      </c>
      <c r="V150" s="14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7" t="s">
        <v>415</v>
      </c>
      <c r="B151" s="3" t="s">
        <v>418</v>
      </c>
      <c r="C151" s="96">
        <f>(HearingAids[[#This Row],[haMSRP]]*2)+HearingAids[[#This Row],[chargerPrice]]</f>
        <v>9683</v>
      </c>
      <c r="D151" s="121">
        <v>4679</v>
      </c>
      <c r="E151" s="121" t="s">
        <v>538</v>
      </c>
      <c r="F151" s="97">
        <f>HearingAids[[#This Row],[haMSRP]]-((HearingAids[[#This Row],[ListPriceBinural]]-HearingAids[[#This Row],[chargerPrice]])/2)</f>
        <v>666.5</v>
      </c>
      <c r="G151" s="97">
        <f>HearingAids[[#This Row],[haMSRP]]-HearingAids[[#This Row],[Discount Amount 1]]</f>
        <v>4012.5</v>
      </c>
      <c r="H151" s="103">
        <v>8350</v>
      </c>
      <c r="I151" s="127" t="s">
        <v>625</v>
      </c>
      <c r="J151" s="98">
        <f>(HearingAids[[#This Row],[haMSRP]]-HearingAids[[#This Row],[Discount Amount 1]])-(HearingAids[[#This Row],[haNetPriceBinural]]-HearingAids[[#This Row],[chargerPrice]])/2</f>
        <v>1330</v>
      </c>
      <c r="K151" s="98">
        <f>HearingAids[[#This Row],[HAListPrice]]-HearingAids[[#This Row],[Discount Amount 2]]</f>
        <v>2682.5</v>
      </c>
      <c r="L151" s="164">
        <v>5690</v>
      </c>
      <c r="M151" s="121"/>
      <c r="N151" s="98"/>
      <c r="O151" s="121"/>
      <c r="P151" s="121"/>
      <c r="Q151" s="134">
        <v>1</v>
      </c>
      <c r="R151" s="134" t="s">
        <v>13</v>
      </c>
      <c r="S151" s="39">
        <v>325</v>
      </c>
      <c r="T151" s="142" t="s">
        <v>14</v>
      </c>
      <c r="U151" s="142">
        <v>0</v>
      </c>
      <c r="V151" s="14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67" t="s">
        <v>500</v>
      </c>
      <c r="B152" s="46" t="s">
        <v>507</v>
      </c>
      <c r="C152" s="52">
        <f>(HearingAids[[#This Row],[haMSRP]]*2)+HearingAids[[#This Row],[chargerPrice]]</f>
        <v>4903</v>
      </c>
      <c r="D152" s="122">
        <v>2339</v>
      </c>
      <c r="E152" s="124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1">
        <v>3500</v>
      </c>
      <c r="I152" s="129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62">
        <v>3390</v>
      </c>
      <c r="M152" s="130"/>
      <c r="N152" s="130"/>
      <c r="O152" s="130"/>
      <c r="P152" s="170"/>
      <c r="Q152" s="135">
        <v>1</v>
      </c>
      <c r="R152" s="171" t="s">
        <v>9</v>
      </c>
      <c r="S152" s="22">
        <v>225</v>
      </c>
      <c r="T152" s="173" t="s">
        <v>26</v>
      </c>
      <c r="U152" s="174">
        <v>0</v>
      </c>
      <c r="V152" s="14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166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68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100">
        <v>9450</v>
      </c>
      <c r="I153" s="169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61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72" t="s">
        <v>14</v>
      </c>
      <c r="U153" s="2">
        <v>0</v>
      </c>
      <c r="V153" s="7" t="s">
        <v>11</v>
      </c>
      <c r="Y153" s="25"/>
      <c r="Z153" s="25"/>
      <c r="AA153" s="25"/>
      <c r="AB153"/>
      <c r="AC153"/>
      <c r="AD153"/>
      <c r="AE153"/>
    </row>
    <row r="154" spans="1:31" ht="12.75">
      <c r="A154" s="166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68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100">
        <v>7050</v>
      </c>
      <c r="I154" s="169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61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72" t="s">
        <v>14</v>
      </c>
      <c r="U154" s="2">
        <v>0</v>
      </c>
      <c r="V154" s="7" t="s">
        <v>11</v>
      </c>
      <c r="Y154" s="25"/>
      <c r="Z154" s="25"/>
      <c r="AA154" s="25"/>
      <c r="AB154"/>
      <c r="AC154"/>
      <c r="AD154"/>
      <c r="AE154"/>
    </row>
    <row r="155" spans="1:31" ht="12.75">
      <c r="A155" s="166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68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100">
        <v>8350</v>
      </c>
      <c r="I155" s="169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61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72" t="s">
        <v>14</v>
      </c>
      <c r="U155" s="2">
        <v>0</v>
      </c>
      <c r="V155" s="7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1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62">
        <v>3390</v>
      </c>
      <c r="M156" s="2"/>
      <c r="N156" s="2"/>
      <c r="O156" s="2"/>
      <c r="P156" s="22"/>
      <c r="Q156" s="23">
        <v>1</v>
      </c>
      <c r="R156" s="106" t="s">
        <v>9</v>
      </c>
      <c r="S156" s="22">
        <v>225</v>
      </c>
      <c r="T156" s="24" t="s">
        <v>26</v>
      </c>
      <c r="U156" s="25">
        <v>0</v>
      </c>
      <c r="V156" s="25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100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61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2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100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61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2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100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61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2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6" activePane="bottomLeft" state="frozen"/>
      <selection pane="bottomLeft" activeCell="G50" sqref="G50:G52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Envision 17 Special</v>
      </c>
      <c r="C6" t="s">
        <v>596</v>
      </c>
    </row>
    <row r="7" spans="1:5">
      <c r="A7" t="str">
        <v>Beltone BTE Digital Boost Ultra 9 86DWHT</v>
      </c>
      <c r="B7" t="str">
        <v>Envision 6 Special</v>
      </c>
      <c r="C7" t="s">
        <v>65</v>
      </c>
    </row>
    <row r="8" spans="1:5">
      <c r="A8" t="str">
        <v>Beltone BTE Digital Boost Ultra 9 95DWT</v>
      </c>
      <c r="B8" t="str">
        <v>Envision 9 Special</v>
      </c>
    </row>
    <row r="9" spans="1:5">
      <c r="A9" t="str">
        <v>Beltone BTE Digital Rely 2 66DW</v>
      </c>
      <c r="B9" t="str">
        <v>Fast Funding</v>
      </c>
    </row>
    <row r="10" spans="1:5">
      <c r="A10" t="str">
        <v>Beltone BTE Digital Rely 2 76DW</v>
      </c>
      <c r="B10" t="str">
        <v>GHB Competitive</v>
      </c>
    </row>
    <row r="11" spans="1:5">
      <c r="A11" t="str">
        <v>Beltone BTE Digital Rely 2 86DWH</v>
      </c>
      <c r="B11" t="str">
        <v>HCS Competitive</v>
      </c>
    </row>
    <row r="12" spans="1:5">
      <c r="A12" t="str">
        <v>Beltone BTE Digital Rely 2 95DW</v>
      </c>
      <c r="B12" t="str">
        <v>HearUSA Competitive</v>
      </c>
    </row>
    <row r="13" spans="1:5">
      <c r="A13" t="str">
        <v>Beltone BTE Digital Rely 3 66DW</v>
      </c>
      <c r="B13" t="str">
        <v>Humana</v>
      </c>
    </row>
    <row r="14" spans="1:5">
      <c r="A14" t="str">
        <v>Beltone BTE Digital Rely 3 76DW</v>
      </c>
      <c r="B14" t="str">
        <v>Marketing Offer</v>
      </c>
    </row>
    <row r="15" spans="1:5">
      <c r="A15" t="str">
        <v>Beltone BTE Digital Rely 3 86DWH</v>
      </c>
      <c r="B15" t="str">
        <v>Martins Point Competitive</v>
      </c>
    </row>
    <row r="16" spans="1:5">
      <c r="A16" t="str">
        <v>Beltone BTE Digital Rely 3 95DW</v>
      </c>
      <c r="B16" t="str">
        <v>Nations Hearing Competitive</v>
      </c>
    </row>
    <row r="17" spans="1:2">
      <c r="A17" t="str">
        <v>Beltone BTE Digital Rely 4 66DW</v>
      </c>
      <c r="B17" t="str">
        <v>Open House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2026-01-22T18:03:40Z</dcterms:modified>
  <cp:category/>
  <cp:contentStatus/>
</cp:coreProperties>
</file>