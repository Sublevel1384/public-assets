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eltonene-my.sharepoint.com/personal/helpdesk_beltonene_com/Documents/HelpDesk_Shared/Inner Ear/Finance/"/>
    </mc:Choice>
  </mc:AlternateContent>
  <xr:revisionPtr revIDLastSave="1678" documentId="8_{964C585B-190F-46EC-9553-F8D486DF59FA}" xr6:coauthVersionLast="47" xr6:coauthVersionMax="47" xr10:uidLastSave="{0DF0CFE0-2BA1-4FDF-956A-E5E95D45BA41}"/>
  <bookViews>
    <workbookView xWindow="-108" yWindow="-108" windowWidth="23256" windowHeight="12456" activeTab="1" xr2:uid="{117CC408-EBB5-49DC-AD42-2C9AA08047CD}"/>
  </bookViews>
  <sheets>
    <sheet name="Price Calculator" sheetId="2" r:id="rId1"/>
    <sheet name="haList" sheetId="1" r:id="rId2"/>
    <sheet name="receiverList" sheetId="6" r:id="rId3"/>
    <sheet name="remoteList" sheetId="4" r:id="rId4"/>
    <sheet name="serviceList" sheetId="7" r:id="rId5"/>
    <sheet name="accessoryList" sheetId="5" r:id="rId6"/>
    <sheet name="Data Lists" sheetId="3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1" l="1"/>
  <c r="L39" i="1"/>
  <c r="C81" i="1"/>
  <c r="C82" i="1"/>
  <c r="C83" i="1"/>
  <c r="C84" i="1"/>
  <c r="C85" i="1"/>
  <c r="C86" i="1"/>
  <c r="C87" i="1"/>
  <c r="C88" i="1"/>
  <c r="C89" i="1"/>
  <c r="F81" i="1"/>
  <c r="J81" i="1" s="1"/>
  <c r="F82" i="1"/>
  <c r="J82" i="1" s="1"/>
  <c r="F83" i="1"/>
  <c r="G83" i="1" s="1"/>
  <c r="F84" i="1"/>
  <c r="G84" i="1" s="1"/>
  <c r="F85" i="1"/>
  <c r="G85" i="1" s="1"/>
  <c r="F86" i="1"/>
  <c r="G86" i="1" s="1"/>
  <c r="F87" i="1"/>
  <c r="G87" i="1" s="1"/>
  <c r="F88" i="1"/>
  <c r="J88" i="1" s="1"/>
  <c r="F89" i="1"/>
  <c r="J89" i="1" s="1"/>
  <c r="N81" i="1"/>
  <c r="N82" i="1"/>
  <c r="N83" i="1"/>
  <c r="N84" i="1"/>
  <c r="N85" i="1"/>
  <c r="N86" i="1"/>
  <c r="N87" i="1"/>
  <c r="N88" i="1"/>
  <c r="N89" i="1"/>
  <c r="G82" i="1" l="1"/>
  <c r="K82" i="1" s="1"/>
  <c r="O82" i="1" s="1"/>
  <c r="G81" i="1"/>
  <c r="K81" i="1" s="1"/>
  <c r="O81" i="1" s="1"/>
  <c r="J84" i="1"/>
  <c r="K84" i="1" s="1"/>
  <c r="O84" i="1" s="1"/>
  <c r="J87" i="1"/>
  <c r="K87" i="1" s="1"/>
  <c r="O87" i="1" s="1"/>
  <c r="J83" i="1"/>
  <c r="K83" i="1" s="1"/>
  <c r="O83" i="1" s="1"/>
  <c r="G89" i="1"/>
  <c r="K89" i="1" s="1"/>
  <c r="O89" i="1" s="1"/>
  <c r="G88" i="1"/>
  <c r="K88" i="1" s="1"/>
  <c r="O88" i="1" s="1"/>
  <c r="J86" i="1"/>
  <c r="K86" i="1" s="1"/>
  <c r="O86" i="1" s="1"/>
  <c r="J85" i="1"/>
  <c r="K85" i="1" s="1"/>
  <c r="O85" i="1" s="1"/>
  <c r="L49" i="1" l="1"/>
  <c r="L5" i="1"/>
  <c r="L7" i="1"/>
  <c r="C2" i="1"/>
  <c r="C3" i="1"/>
  <c r="C4" i="1"/>
  <c r="C11" i="1"/>
  <c r="C24" i="1"/>
  <c r="C40" i="1"/>
  <c r="C5" i="1"/>
  <c r="C6" i="1"/>
  <c r="C7" i="1"/>
  <c r="C8" i="1"/>
  <c r="C9" i="1"/>
  <c r="C10" i="1"/>
  <c r="C12" i="1"/>
  <c r="C54" i="1"/>
  <c r="C13" i="1"/>
  <c r="C14" i="1"/>
  <c r="C25" i="1"/>
  <c r="C41" i="1"/>
  <c r="C57" i="1"/>
  <c r="C15" i="1"/>
  <c r="C26" i="1"/>
  <c r="C42" i="1"/>
  <c r="C58" i="1"/>
  <c r="C16" i="1"/>
  <c r="C27" i="1"/>
  <c r="C43" i="1"/>
  <c r="C59" i="1"/>
  <c r="C17" i="1"/>
  <c r="C28" i="1"/>
  <c r="C44" i="1"/>
  <c r="C61" i="1"/>
  <c r="C33" i="1"/>
  <c r="C34" i="1"/>
  <c r="C35" i="1"/>
  <c r="C36" i="1"/>
  <c r="C37" i="1"/>
  <c r="C38" i="1"/>
  <c r="C39" i="1"/>
  <c r="C18" i="1"/>
  <c r="C29" i="1"/>
  <c r="C45" i="1"/>
  <c r="C62" i="1"/>
  <c r="C19" i="1"/>
  <c r="C30" i="1"/>
  <c r="C46" i="1"/>
  <c r="C77" i="1"/>
  <c r="C78" i="1"/>
  <c r="C79" i="1"/>
  <c r="C80" i="1"/>
  <c r="C67" i="1"/>
  <c r="C71" i="1"/>
  <c r="C74" i="1"/>
  <c r="C68" i="1"/>
  <c r="C69" i="1"/>
  <c r="C72" i="1"/>
  <c r="C75" i="1"/>
  <c r="C70" i="1"/>
  <c r="C73" i="1"/>
  <c r="C76" i="1"/>
  <c r="C64" i="1"/>
  <c r="C20" i="1"/>
  <c r="C21" i="1"/>
  <c r="C22" i="1"/>
  <c r="C31" i="1"/>
  <c r="C47" i="1"/>
  <c r="C65" i="1"/>
  <c r="C49" i="1"/>
  <c r="C50" i="1"/>
  <c r="C51" i="1"/>
  <c r="C52" i="1"/>
  <c r="C23" i="1"/>
  <c r="C32" i="1"/>
  <c r="C48" i="1"/>
  <c r="C66" i="1"/>
  <c r="C53" i="1"/>
  <c r="C55" i="1"/>
  <c r="C56" i="1"/>
  <c r="C60" i="1"/>
  <c r="C63" i="1"/>
  <c r="F66" i="1"/>
  <c r="J66" i="1" s="1"/>
  <c r="F48" i="1"/>
  <c r="J48" i="1" s="1"/>
  <c r="F32" i="1"/>
  <c r="J32" i="1" s="1"/>
  <c r="F65" i="1"/>
  <c r="J65" i="1" s="1"/>
  <c r="F47" i="1"/>
  <c r="J47" i="1" s="1"/>
  <c r="F31" i="1"/>
  <c r="J31" i="1" s="1"/>
  <c r="F64" i="1"/>
  <c r="J64" i="1" s="1"/>
  <c r="F46" i="1"/>
  <c r="J46" i="1" s="1"/>
  <c r="F30" i="1"/>
  <c r="J30" i="1" s="1"/>
  <c r="F62" i="1"/>
  <c r="J62" i="1" s="1"/>
  <c r="F45" i="1"/>
  <c r="J45" i="1" s="1"/>
  <c r="F29" i="1"/>
  <c r="J29" i="1" s="1"/>
  <c r="F61" i="1"/>
  <c r="J61" i="1" s="1"/>
  <c r="F44" i="1"/>
  <c r="J44" i="1" s="1"/>
  <c r="F28" i="1"/>
  <c r="J28" i="1" s="1"/>
  <c r="F59" i="1"/>
  <c r="J59" i="1" s="1"/>
  <c r="F43" i="1"/>
  <c r="J43" i="1" s="1"/>
  <c r="F27" i="1"/>
  <c r="J27" i="1" s="1"/>
  <c r="F58" i="1"/>
  <c r="J58" i="1" s="1"/>
  <c r="F42" i="1"/>
  <c r="J42" i="1" s="1"/>
  <c r="F26" i="1"/>
  <c r="J26" i="1" s="1"/>
  <c r="F57" i="1"/>
  <c r="J57" i="1" s="1"/>
  <c r="F41" i="1"/>
  <c r="J41" i="1" s="1"/>
  <c r="F25" i="1"/>
  <c r="J25" i="1" s="1"/>
  <c r="F54" i="1"/>
  <c r="J54" i="1" s="1"/>
  <c r="F40" i="1"/>
  <c r="J40" i="1" s="1"/>
  <c r="F24" i="1"/>
  <c r="J24" i="1" s="1"/>
  <c r="N24" i="1"/>
  <c r="N40" i="1"/>
  <c r="N54" i="1"/>
  <c r="N25" i="1"/>
  <c r="N41" i="1"/>
  <c r="N57" i="1"/>
  <c r="N26" i="1"/>
  <c r="N42" i="1"/>
  <c r="N58" i="1"/>
  <c r="N27" i="1"/>
  <c r="N43" i="1"/>
  <c r="N59" i="1"/>
  <c r="L70" i="1"/>
  <c r="L69" i="1"/>
  <c r="L68" i="1"/>
  <c r="L67" i="1"/>
  <c r="L53" i="1"/>
  <c r="L73" i="1"/>
  <c r="L72" i="1"/>
  <c r="L71" i="1"/>
  <c r="G46" i="1" l="1"/>
  <c r="K46" i="1" s="1"/>
  <c r="O46" i="1" s="1"/>
  <c r="G30" i="1"/>
  <c r="K30" i="1" s="1"/>
  <c r="O30" i="1" s="1"/>
  <c r="G29" i="1"/>
  <c r="K29" i="1" s="1"/>
  <c r="O29" i="1" s="1"/>
  <c r="G58" i="1"/>
  <c r="K58" i="1" s="1"/>
  <c r="O58" i="1" s="1"/>
  <c r="G65" i="1"/>
  <c r="K65" i="1" s="1"/>
  <c r="O65" i="1" s="1"/>
  <c r="G31" i="1"/>
  <c r="K31" i="1" s="1"/>
  <c r="O31" i="1" s="1"/>
  <c r="G25" i="1"/>
  <c r="K25" i="1" s="1"/>
  <c r="O25" i="1" s="1"/>
  <c r="G54" i="1"/>
  <c r="K54" i="1" s="1"/>
  <c r="O54" i="1" s="1"/>
  <c r="G47" i="1"/>
  <c r="K47" i="1" s="1"/>
  <c r="O47" i="1" s="1"/>
  <c r="G43" i="1"/>
  <c r="K43" i="1" s="1"/>
  <c r="O43" i="1" s="1"/>
  <c r="G40" i="1"/>
  <c r="K40" i="1" s="1"/>
  <c r="O40" i="1" s="1"/>
  <c r="G59" i="1"/>
  <c r="K59" i="1" s="1"/>
  <c r="O59" i="1" s="1"/>
  <c r="G24" i="1"/>
  <c r="K24" i="1" s="1"/>
  <c r="O24" i="1" s="1"/>
  <c r="G32" i="1"/>
  <c r="K32" i="1" s="1"/>
  <c r="O32" i="1" s="1"/>
  <c r="G27" i="1"/>
  <c r="K27" i="1" s="1"/>
  <c r="O27" i="1" s="1"/>
  <c r="G66" i="1"/>
  <c r="K66" i="1" s="1"/>
  <c r="O66" i="1" s="1"/>
  <c r="G64" i="1"/>
  <c r="K64" i="1" s="1"/>
  <c r="O64" i="1" s="1"/>
  <c r="G48" i="1"/>
  <c r="K48" i="1" s="1"/>
  <c r="O48" i="1" s="1"/>
  <c r="G61" i="1"/>
  <c r="K61" i="1" s="1"/>
  <c r="O61" i="1" s="1"/>
  <c r="G44" i="1"/>
  <c r="K44" i="1" s="1"/>
  <c r="O44" i="1" s="1"/>
  <c r="G42" i="1"/>
  <c r="K42" i="1" s="1"/>
  <c r="O42" i="1" s="1"/>
  <c r="G57" i="1"/>
  <c r="K57" i="1" s="1"/>
  <c r="O57" i="1" s="1"/>
  <c r="G41" i="1"/>
  <c r="K41" i="1" s="1"/>
  <c r="O41" i="1" s="1"/>
  <c r="G62" i="1"/>
  <c r="K62" i="1" s="1"/>
  <c r="O62" i="1" s="1"/>
  <c r="G28" i="1"/>
  <c r="K28" i="1" s="1"/>
  <c r="O28" i="1" s="1"/>
  <c r="G26" i="1"/>
  <c r="K26" i="1" s="1"/>
  <c r="O26" i="1" s="1"/>
  <c r="G45" i="1"/>
  <c r="K45" i="1" s="1"/>
  <c r="O45" i="1" s="1"/>
  <c r="F76" i="1" l="1"/>
  <c r="F73" i="1"/>
  <c r="F70" i="1"/>
  <c r="F75" i="1"/>
  <c r="F72" i="1"/>
  <c r="F69" i="1"/>
  <c r="F68" i="1"/>
  <c r="F74" i="1"/>
  <c r="F71" i="1"/>
  <c r="F67" i="1"/>
  <c r="F63" i="1"/>
  <c r="L80" i="1"/>
  <c r="N80" i="1" s="1"/>
  <c r="F80" i="1"/>
  <c r="G80" i="1" s="1"/>
  <c r="L79" i="1"/>
  <c r="N79" i="1" s="1"/>
  <c r="F79" i="1"/>
  <c r="G79" i="1" s="1"/>
  <c r="L78" i="1"/>
  <c r="N78" i="1" s="1"/>
  <c r="F78" i="1"/>
  <c r="G78" i="1" s="1"/>
  <c r="L77" i="1"/>
  <c r="N77" i="1" s="1"/>
  <c r="F77" i="1"/>
  <c r="G77" i="1" s="1"/>
  <c r="L60" i="1"/>
  <c r="F60" i="1"/>
  <c r="G60" i="1" s="1"/>
  <c r="F56" i="1"/>
  <c r="G56" i="1" s="1"/>
  <c r="F55" i="1"/>
  <c r="G55" i="1" s="1"/>
  <c r="F53" i="1"/>
  <c r="F52" i="1"/>
  <c r="L51" i="1"/>
  <c r="F51" i="1"/>
  <c r="G51" i="1" s="1"/>
  <c r="F50" i="1"/>
  <c r="F49" i="1"/>
  <c r="F39" i="1"/>
  <c r="F38" i="1"/>
  <c r="G38" i="1" s="1"/>
  <c r="L37" i="1"/>
  <c r="F37" i="1"/>
  <c r="G37" i="1" s="1"/>
  <c r="F36" i="1"/>
  <c r="F35" i="1"/>
  <c r="F34" i="1"/>
  <c r="F33" i="1"/>
  <c r="F23" i="1"/>
  <c r="G23" i="1" s="1"/>
  <c r="F22" i="1"/>
  <c r="G22" i="1" s="1"/>
  <c r="F21" i="1"/>
  <c r="G21" i="1" s="1"/>
  <c r="F19" i="1"/>
  <c r="G19" i="1" s="1"/>
  <c r="F20" i="1"/>
  <c r="F18" i="1"/>
  <c r="G18" i="1" s="1"/>
  <c r="F17" i="1"/>
  <c r="G17" i="1" s="1"/>
  <c r="F13" i="1"/>
  <c r="G13" i="1" s="1"/>
  <c r="F16" i="1"/>
  <c r="G16" i="1" s="1"/>
  <c r="F15" i="1"/>
  <c r="G15" i="1" s="1"/>
  <c r="F14" i="1"/>
  <c r="G14" i="1" s="1"/>
  <c r="F11" i="1"/>
  <c r="G11" i="1" s="1"/>
  <c r="F12" i="1"/>
  <c r="F10" i="1"/>
  <c r="F9" i="1"/>
  <c r="F8" i="1"/>
  <c r="F7" i="1"/>
  <c r="G7" i="1" s="1"/>
  <c r="F6" i="1"/>
  <c r="G6" i="1" s="1"/>
  <c r="F5" i="1"/>
  <c r="F4" i="1"/>
  <c r="F3" i="1"/>
  <c r="G3" i="1" s="1"/>
  <c r="F2" i="1"/>
  <c r="G68" i="1" l="1"/>
  <c r="K68" i="1" s="1"/>
  <c r="G39" i="1"/>
  <c r="K39" i="1" s="1"/>
  <c r="J63" i="1"/>
  <c r="G63" i="1"/>
  <c r="G71" i="1"/>
  <c r="K71" i="1" s="1"/>
  <c r="J35" i="1"/>
  <c r="G35" i="1"/>
  <c r="G72" i="1"/>
  <c r="K72" i="1" s="1"/>
  <c r="G12" i="1"/>
  <c r="K12" i="1" s="1"/>
  <c r="J20" i="1"/>
  <c r="G20" i="1"/>
  <c r="J5" i="1"/>
  <c r="G5" i="1"/>
  <c r="J2" i="1"/>
  <c r="G2" i="1"/>
  <c r="J36" i="1"/>
  <c r="G36" i="1"/>
  <c r="J50" i="1"/>
  <c r="G50" i="1"/>
  <c r="G70" i="1"/>
  <c r="K70" i="1" s="1"/>
  <c r="G53" i="1"/>
  <c r="K53" i="1" s="1"/>
  <c r="G67" i="1"/>
  <c r="K67" i="1" s="1"/>
  <c r="G49" i="1"/>
  <c r="K49" i="1" s="1"/>
  <c r="G69" i="1"/>
  <c r="K69" i="1" s="1"/>
  <c r="G33" i="1"/>
  <c r="K33" i="1" s="1"/>
  <c r="G73" i="1"/>
  <c r="K73" i="1" s="1"/>
  <c r="J52" i="1"/>
  <c r="G52" i="1"/>
  <c r="G74" i="1"/>
  <c r="K74" i="1" s="1"/>
  <c r="J34" i="1"/>
  <c r="G34" i="1"/>
  <c r="G75" i="1"/>
  <c r="K75" i="1" s="1"/>
  <c r="J8" i="1"/>
  <c r="G8" i="1"/>
  <c r="J4" i="1"/>
  <c r="G4" i="1"/>
  <c r="G9" i="1"/>
  <c r="K9" i="1" s="1"/>
  <c r="J10" i="1"/>
  <c r="G10" i="1"/>
  <c r="G76" i="1"/>
  <c r="K76" i="1" s="1"/>
  <c r="J23" i="1"/>
  <c r="K23" i="1" s="1"/>
  <c r="J18" i="1"/>
  <c r="K18" i="1" s="1"/>
  <c r="J19" i="1"/>
  <c r="K19" i="1" s="1"/>
  <c r="J15" i="1"/>
  <c r="K15" i="1" s="1"/>
  <c r="J80" i="1"/>
  <c r="J79" i="1"/>
  <c r="J77" i="1"/>
  <c r="J78" i="1"/>
  <c r="J6" i="1"/>
  <c r="K6" i="1" s="1"/>
  <c r="J7" i="1"/>
  <c r="K7" i="1" s="1"/>
  <c r="J3" i="1"/>
  <c r="K3" i="1" s="1"/>
  <c r="J17" i="1"/>
  <c r="K17" i="1" s="1"/>
  <c r="J14" i="1"/>
  <c r="K14" i="1" s="1"/>
  <c r="J51" i="1"/>
  <c r="K51" i="1" s="1"/>
  <c r="J16" i="1"/>
  <c r="K16" i="1" s="1"/>
  <c r="J13" i="1"/>
  <c r="K13" i="1" s="1"/>
  <c r="J21" i="1"/>
  <c r="K21" i="1" s="1"/>
  <c r="J56" i="1"/>
  <c r="K56" i="1" s="1"/>
  <c r="J55" i="1"/>
  <c r="K55" i="1" s="1"/>
  <c r="J37" i="1"/>
  <c r="K37" i="1" s="1"/>
  <c r="J22" i="1"/>
  <c r="K22" i="1" s="1"/>
  <c r="J60" i="1"/>
  <c r="K60" i="1" s="1"/>
  <c r="J11" i="1"/>
  <c r="K11" i="1" s="1"/>
  <c r="J38" i="1"/>
  <c r="K38" i="1" s="1"/>
  <c r="C28" i="2" a="1"/>
  <c r="B260" i="6"/>
  <c r="B259" i="6"/>
  <c r="B258" i="6"/>
  <c r="B257" i="6"/>
  <c r="B256" i="6"/>
  <c r="B255" i="6"/>
  <c r="B254" i="6"/>
  <c r="B253" i="6"/>
  <c r="B252" i="6"/>
  <c r="B251" i="6"/>
  <c r="B250" i="6"/>
  <c r="B249" i="6"/>
  <c r="B248" i="6"/>
  <c r="B247" i="6"/>
  <c r="B246" i="6"/>
  <c r="B245" i="6"/>
  <c r="B244" i="6"/>
  <c r="B243" i="6"/>
  <c r="B242" i="6"/>
  <c r="B3" i="3" a="1"/>
  <c r="D13" i="2" a="1"/>
  <c r="B23" i="2"/>
  <c r="B34" i="2"/>
  <c r="B28" i="2" a="1"/>
  <c r="B25" i="2" a="1"/>
  <c r="B24" i="2" a="1"/>
  <c r="B13" i="2" a="1"/>
  <c r="G92" i="4"/>
  <c r="B92" i="4"/>
  <c r="G91" i="4"/>
  <c r="B91" i="4"/>
  <c r="G90" i="4"/>
  <c r="B90" i="4"/>
  <c r="G89" i="4"/>
  <c r="B89" i="4"/>
  <c r="G88" i="4"/>
  <c r="B88" i="4"/>
  <c r="G87" i="4"/>
  <c r="B87" i="4"/>
  <c r="G86" i="4"/>
  <c r="B86" i="4"/>
  <c r="G85" i="4"/>
  <c r="B85" i="4"/>
  <c r="G84" i="4"/>
  <c r="B84" i="4"/>
  <c r="G83" i="4"/>
  <c r="B83" i="4"/>
  <c r="G82" i="4"/>
  <c r="B82" i="4"/>
  <c r="G81" i="4"/>
  <c r="B81" i="4"/>
  <c r="G80" i="4"/>
  <c r="B80" i="4"/>
  <c r="G79" i="4"/>
  <c r="B79" i="4"/>
  <c r="G78" i="4"/>
  <c r="B78" i="4"/>
  <c r="G77" i="4"/>
  <c r="B77" i="4"/>
  <c r="G76" i="4"/>
  <c r="B76" i="4"/>
  <c r="G75" i="4"/>
  <c r="B75" i="4"/>
  <c r="B241" i="6"/>
  <c r="B240" i="6"/>
  <c r="B239" i="6"/>
  <c r="B238" i="6"/>
  <c r="B237" i="6"/>
  <c r="B236" i="6"/>
  <c r="B235" i="6"/>
  <c r="B234" i="6"/>
  <c r="B233" i="6"/>
  <c r="B232" i="6"/>
  <c r="B231" i="6"/>
  <c r="B230" i="6"/>
  <c r="B229" i="6"/>
  <c r="B228" i="6"/>
  <c r="B227" i="6"/>
  <c r="B226" i="6"/>
  <c r="B225" i="6"/>
  <c r="B224" i="6"/>
  <c r="B223" i="6"/>
  <c r="B69" i="4"/>
  <c r="G69" i="4"/>
  <c r="G48" i="4"/>
  <c r="B48" i="4"/>
  <c r="G47" i="4"/>
  <c r="B47" i="4"/>
  <c r="B65" i="4"/>
  <c r="B66" i="4"/>
  <c r="B67" i="4"/>
  <c r="B68" i="4"/>
  <c r="B70" i="4"/>
  <c r="G65" i="4"/>
  <c r="G66" i="4"/>
  <c r="G67" i="4"/>
  <c r="G68" i="4"/>
  <c r="G70" i="4"/>
  <c r="G64" i="4"/>
  <c r="B64" i="4"/>
  <c r="G27" i="4"/>
  <c r="B27" i="4"/>
  <c r="K52" i="1" l="1"/>
  <c r="K36" i="1"/>
  <c r="K5" i="1"/>
  <c r="K50" i="1"/>
  <c r="K35" i="1"/>
  <c r="K2" i="1"/>
  <c r="K20" i="1"/>
  <c r="K8" i="1"/>
  <c r="K63" i="1"/>
  <c r="K34" i="1"/>
  <c r="K4" i="1"/>
  <c r="K10" i="1"/>
  <c r="K77" i="1"/>
  <c r="O77" i="1" s="1"/>
  <c r="K80" i="1"/>
  <c r="O80" i="1" s="1"/>
  <c r="K78" i="1"/>
  <c r="O78" i="1" s="1"/>
  <c r="K79" i="1"/>
  <c r="O79" i="1" s="1"/>
  <c r="D14" i="2" a="1"/>
  <c r="B14" i="2" a="1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53" i="4"/>
  <c r="G54" i="4"/>
  <c r="G55" i="4"/>
  <c r="G56" i="4"/>
  <c r="G57" i="4"/>
  <c r="G58" i="4"/>
  <c r="G59" i="4"/>
  <c r="G60" i="4"/>
  <c r="G61" i="4"/>
  <c r="G62" i="4"/>
  <c r="G71" i="4"/>
  <c r="G72" i="4"/>
  <c r="G73" i="4"/>
  <c r="G74" i="4"/>
  <c r="G2" i="4"/>
  <c r="G3" i="4"/>
  <c r="G4" i="4"/>
  <c r="G5" i="4"/>
  <c r="G63" i="4"/>
  <c r="G49" i="4"/>
  <c r="G50" i="4"/>
  <c r="G51" i="4"/>
  <c r="G52" i="4"/>
  <c r="G26" i="4"/>
  <c r="G42" i="4"/>
  <c r="G43" i="4"/>
  <c r="G44" i="4"/>
  <c r="G45" i="4"/>
  <c r="G46" i="4"/>
  <c r="B56" i="4"/>
  <c r="G28" i="2"/>
  <c r="D16" i="2" l="1" a="1"/>
  <c r="B16" i="2" a="1"/>
  <c r="B46" i="4"/>
  <c r="B45" i="4"/>
  <c r="B44" i="4"/>
  <c r="B42" i="4"/>
  <c r="B43" i="4"/>
  <c r="B26" i="4"/>
  <c r="B52" i="4"/>
  <c r="B51" i="4"/>
  <c r="B50" i="4"/>
  <c r="B49" i="4"/>
  <c r="B63" i="4"/>
  <c r="B18" i="2" l="1" a="1"/>
  <c r="D18" i="2" a="1"/>
  <c r="B5" i="4" l="1"/>
  <c r="B4" i="4"/>
  <c r="B3" i="4"/>
  <c r="B2" i="4" l="1"/>
  <c r="B8" i="4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16" i="6"/>
  <c r="B217" i="6"/>
  <c r="B218" i="6"/>
  <c r="B219" i="6"/>
  <c r="B220" i="6"/>
  <c r="B221" i="6"/>
  <c r="B222" i="6"/>
  <c r="B2" i="6"/>
  <c r="B74" i="4"/>
  <c r="B73" i="4"/>
  <c r="B72" i="4"/>
  <c r="B71" i="4"/>
  <c r="B41" i="4"/>
  <c r="B40" i="4"/>
  <c r="B38" i="4"/>
  <c r="B37" i="4"/>
  <c r="B39" i="4"/>
  <c r="B7" i="4"/>
  <c r="B6" i="4"/>
  <c r="B33" i="4"/>
  <c r="B32" i="4"/>
  <c r="B29" i="4"/>
  <c r="B28" i="4"/>
  <c r="B31" i="4"/>
  <c r="B30" i="4"/>
  <c r="B36" i="4"/>
  <c r="B35" i="4"/>
  <c r="B34" i="4"/>
  <c r="B16" i="4"/>
  <c r="B15" i="4"/>
  <c r="B14" i="4"/>
  <c r="B19" i="4"/>
  <c r="B18" i="4"/>
  <c r="B17" i="4"/>
  <c r="B13" i="4"/>
  <c r="B12" i="4"/>
  <c r="B11" i="4"/>
  <c r="B10" i="4"/>
  <c r="B9" i="4"/>
  <c r="B22" i="4"/>
  <c r="B21" i="4"/>
  <c r="B20" i="4"/>
  <c r="B25" i="4"/>
  <c r="B24" i="4"/>
  <c r="B23" i="4"/>
  <c r="B53" i="4"/>
  <c r="B2" i="5" l="1"/>
  <c r="B3" i="5"/>
  <c r="B2" i="7"/>
  <c r="B3" i="7"/>
  <c r="B57" i="4"/>
  <c r="B58" i="4"/>
  <c r="B59" i="4"/>
  <c r="B60" i="4"/>
  <c r="B61" i="4"/>
  <c r="B62" i="4"/>
  <c r="B54" i="4"/>
  <c r="B55" i="4"/>
  <c r="B35" i="2" l="1"/>
  <c r="A3" i="3" l="1" a="1"/>
  <c r="B26" i="2" s="1"/>
  <c r="D15" i="2" l="1"/>
  <c r="B15" i="2"/>
  <c r="C25" i="2" a="1"/>
  <c r="C24" i="2" a="1"/>
  <c r="C26" i="2" l="1"/>
  <c r="D17" i="2" s="1"/>
  <c r="D19" i="2" s="1"/>
  <c r="C23" i="2" s="1"/>
  <c r="B17" i="2" s="1"/>
  <c r="B19" i="2" s="1"/>
  <c r="C22" i="2" s="1"/>
  <c r="C27" i="2" s="1"/>
  <c r="C29" i="2" s="1"/>
  <c r="C33" i="2" s="1"/>
  <c r="C34" i="2" s="1"/>
  <c r="C35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<sst xmlns="http://schemas.openxmlformats.org/spreadsheetml/2006/main" count="2371" uniqueCount="570">
  <si>
    <t>Choose Hearing Aid Model</t>
  </si>
  <si>
    <t>Beltone RIE Digital XF 9 60SDRWC</t>
  </si>
  <si>
    <t>Choose Qty</t>
  </si>
  <si>
    <t>Discount Code</t>
  </si>
  <si>
    <t>BCBS Blue365 Member</t>
  </si>
  <si>
    <t xml:space="preserve"> If you get an #N/A error, it means that hearing aid chosen is not available for that discount program.</t>
  </si>
  <si>
    <t>HEARING AID 1</t>
  </si>
  <si>
    <t>Pricing</t>
  </si>
  <si>
    <t>HEARING AID 2</t>
  </si>
  <si>
    <t>MSRP each</t>
  </si>
  <si>
    <t>Volume Discount</t>
  </si>
  <si>
    <t>List Price</t>
  </si>
  <si>
    <t>Discount 2</t>
  </si>
  <si>
    <t>Net Price</t>
  </si>
  <si>
    <t>Discount 3</t>
  </si>
  <si>
    <t>Final Price</t>
  </si>
  <si>
    <t>Hearing Aid 1</t>
  </si>
  <si>
    <t>SubTotal</t>
  </si>
  <si>
    <t>TOTAL</t>
  </si>
  <si>
    <t>Choose how the patient is planning on paying</t>
  </si>
  <si>
    <t>AllWell Fast Funding</t>
  </si>
  <si>
    <t>haModel</t>
  </si>
  <si>
    <t>haDescription</t>
  </si>
  <si>
    <t>BiNuralMSRP w/Charger</t>
  </si>
  <si>
    <t>haMSRP</t>
  </si>
  <si>
    <t>Discount Type 1</t>
  </si>
  <si>
    <t>Discount Amount 1</t>
  </si>
  <si>
    <t>HAListPrice</t>
  </si>
  <si>
    <t>ListPriceBinural</t>
  </si>
  <si>
    <t>Discount Type 2</t>
  </si>
  <si>
    <t>Discount Amount 2</t>
  </si>
  <si>
    <t>haNetPrice</t>
  </si>
  <si>
    <t>haNetPriceBinural</t>
  </si>
  <si>
    <t>Discount Type 3</t>
  </si>
  <si>
    <t>Discount Amount 3</t>
  </si>
  <si>
    <t>haNetPrice2</t>
  </si>
  <si>
    <t>haNetPriceBinural2</t>
  </si>
  <si>
    <t>paFittingFee</t>
  </si>
  <si>
    <t>chargerType</t>
  </si>
  <si>
    <t>chargerPrice</t>
  </si>
  <si>
    <t>haReceiverType</t>
  </si>
  <si>
    <t>haReceiverPrice</t>
  </si>
  <si>
    <t>haReceiverDiscountDescription</t>
  </si>
  <si>
    <t>Beltone RIE Digital Commence 2 63-DRW</t>
  </si>
  <si>
    <t>Beltone Commence 2 63-DRW Digital RIE</t>
  </si>
  <si>
    <t>&lt;none&gt;</t>
  </si>
  <si>
    <t>None</t>
  </si>
  <si>
    <t>Beltone RIE Digital Commence 3 62-DRWC</t>
  </si>
  <si>
    <t>Beltone Commence 3 62-DRWC Digital RIE</t>
  </si>
  <si>
    <t>Desktop Charger</t>
  </si>
  <si>
    <t>Beltone RIE Digital Envision 4 62S-DRWC</t>
  </si>
  <si>
    <t>Beltone Envision 4 62S-DRWC Digital RIE</t>
  </si>
  <si>
    <t>Standard Charger</t>
  </si>
  <si>
    <t>Beltone RIE Digital Envision 17 62S-DRWC</t>
  </si>
  <si>
    <t>Beltone Envision 17 62S-DRWC Digital RIE</t>
  </si>
  <si>
    <t>SureFit3 or M@RIE Receiver</t>
  </si>
  <si>
    <t>100% Discount</t>
  </si>
  <si>
    <t>Beltone RIE Digital Envision 6 62S-DRWC</t>
  </si>
  <si>
    <t>Beltone Envision 6 62S-DRWC Digital RIE</t>
  </si>
  <si>
    <t>Beltone RIE Digital Envision 9 62S-DRWC</t>
  </si>
  <si>
    <t>Beltone Envision 9 62S-DRWC Digital RIE</t>
  </si>
  <si>
    <t>SureFit</t>
  </si>
  <si>
    <t>Beltone BTE Digital Boost Max S 4 95-DWHC</t>
  </si>
  <si>
    <t>Beltone Boost Max S 4 95-DWHC Digital BTE</t>
  </si>
  <si>
    <t>Amplifon Competitive</t>
  </si>
  <si>
    <t>Early Lease Upgrade</t>
  </si>
  <si>
    <t>Beltone BTE Digital Boost Max S 17 95-DWHC</t>
  </si>
  <si>
    <t>Beltone Boost Max S 17 95-DWHC Digital BTE</t>
  </si>
  <si>
    <t>Beltone BTE Digital Boost Max S 6 95-DWHC</t>
  </si>
  <si>
    <t>Beltone Boost Max S 6 95-DWHC Digital BTE</t>
  </si>
  <si>
    <t>Beltone BTE Digital Boost Max S 9 95-DWHC</t>
  </si>
  <si>
    <t>Beltone Boost Max S 9 95-DWHC Digital BTE</t>
  </si>
  <si>
    <t>Envision 17 Special</t>
  </si>
  <si>
    <t>Envision 6 Special</t>
  </si>
  <si>
    <t>Envision 9 Special</t>
  </si>
  <si>
    <t>Fast Funding</t>
  </si>
  <si>
    <t>GHB/BCBS Competitive</t>
  </si>
  <si>
    <t>HCS Competitive</t>
  </si>
  <si>
    <t>HearUSA Competitive</t>
  </si>
  <si>
    <t>Humana</t>
  </si>
  <si>
    <t>Marketing Offer</t>
  </si>
  <si>
    <t>Martins Point Competitive</t>
  </si>
  <si>
    <t>Nations Hearing Competitive</t>
  </si>
  <si>
    <t>Open House Special</t>
  </si>
  <si>
    <t>Tri-Care</t>
  </si>
  <si>
    <t>TruHearing Competitive</t>
  </si>
  <si>
    <t>UHCH Competitive</t>
  </si>
  <si>
    <t>Veterans Discount</t>
  </si>
  <si>
    <t>WellCare Competitive</t>
  </si>
  <si>
    <t>Beltone RIE Digital XC 4 61DRWC</t>
  </si>
  <si>
    <t>Beltone XC 4 61DRWC Digital RIE</t>
  </si>
  <si>
    <t>Beltone RIE Digital XF 5 60SDRWC</t>
  </si>
  <si>
    <t>Beltone XF 5 60SDRWC Digital RIE</t>
  </si>
  <si>
    <t>Beltone RIE Digital XF 7 60SDRWC</t>
  </si>
  <si>
    <t>Beltone XF 7 60SDRWC Digital RIE</t>
  </si>
  <si>
    <t>Beltone XF 9 60SDRWC Digital RIE</t>
  </si>
  <si>
    <t>barcodeName</t>
  </si>
  <si>
    <t>barcode</t>
  </si>
  <si>
    <t>receiverType</t>
  </si>
  <si>
    <t>receiverRightDescription2</t>
  </si>
  <si>
    <t>receiverLeftDescription</t>
  </si>
  <si>
    <t>receiverListAmount</t>
  </si>
  <si>
    <t>receiverDiscountAmount</t>
  </si>
  <si>
    <t>receiverDiscountDescription</t>
  </si>
  <si>
    <t>receiverPrice</t>
  </si>
  <si>
    <t>CAM-REC-SF3-HP0</t>
  </si>
  <si>
    <t>Surefit3 HP 0</t>
  </si>
  <si>
    <t>Surefit3 HP 0R</t>
  </si>
  <si>
    <t>Surefit3 HP 0L</t>
  </si>
  <si>
    <t>CAM-REC-SF3-HP1</t>
  </si>
  <si>
    <t>Surefit3 HP 1</t>
  </si>
  <si>
    <t>Surefit3 HP 1R</t>
  </si>
  <si>
    <t>Surefit3 HP 1L</t>
  </si>
  <si>
    <t>CAM-REC-SF3-HP2</t>
  </si>
  <si>
    <t>Surefit3 HP 2</t>
  </si>
  <si>
    <t>Surefit3 HP 2R</t>
  </si>
  <si>
    <t>Surefit3 HP 2L</t>
  </si>
  <si>
    <t>CAM-REC-SF3-HP3</t>
  </si>
  <si>
    <t>Surefit3 HP 3</t>
  </si>
  <si>
    <t>Surefit3 HP 3R</t>
  </si>
  <si>
    <t>Surefit3 HP 3L</t>
  </si>
  <si>
    <t>CAM-REC-SF3-HP4</t>
  </si>
  <si>
    <t>Surefit3 HP 4</t>
  </si>
  <si>
    <t>Surefit3 HP 4R</t>
  </si>
  <si>
    <t>Surefit3 HP 4L</t>
  </si>
  <si>
    <t>CAM-REC-SF3-LP0</t>
  </si>
  <si>
    <t>Surefit3 LP 0</t>
  </si>
  <si>
    <t>Surefit3 LP 0R</t>
  </si>
  <si>
    <t>Surefit3 LP 0L</t>
  </si>
  <si>
    <t>CAM-REC-SF3-LP1</t>
  </si>
  <si>
    <t>Surefit3 LP 1</t>
  </si>
  <si>
    <t>Surefit3 LP 1R</t>
  </si>
  <si>
    <t>Surefit3 LP 1L</t>
  </si>
  <si>
    <t>CAM-REC-SF3-LP2</t>
  </si>
  <si>
    <t>Surefit3 LP 2</t>
  </si>
  <si>
    <t>Surefit3 LP 2R</t>
  </si>
  <si>
    <t>Surefit3 LP 2L</t>
  </si>
  <si>
    <t>CAM-REC-SF3-LP3</t>
  </si>
  <si>
    <t>Surefit3 LP 3</t>
  </si>
  <si>
    <t>Surefit3 LP 3R</t>
  </si>
  <si>
    <t>Surefit3 LP 3L</t>
  </si>
  <si>
    <t>CAM-REC-SF3-LP4</t>
  </si>
  <si>
    <t>Surefit3 LP 4</t>
  </si>
  <si>
    <t>Surefit3 LP 4R</t>
  </si>
  <si>
    <t>Surefit3 LP 4L</t>
  </si>
  <si>
    <t>CAM-REC-SF3-MP0</t>
  </si>
  <si>
    <t>Surefit3 MP 0</t>
  </si>
  <si>
    <t>Surefit3 MP 0R</t>
  </si>
  <si>
    <t>Surefit3 MP 0L</t>
  </si>
  <si>
    <t>CAM-REC-SF3-MP1</t>
  </si>
  <si>
    <t>Surefit3 MP 1</t>
  </si>
  <si>
    <t>Surefit3 MP 1R</t>
  </si>
  <si>
    <t>Surefit3 MP 1L</t>
  </si>
  <si>
    <t>CAM-REC-SF3-MP2</t>
  </si>
  <si>
    <t>Surefit3 MP 2</t>
  </si>
  <si>
    <t>Surefit3 MP 2R</t>
  </si>
  <si>
    <t>Surefit3 MP 2L</t>
  </si>
  <si>
    <t>CAM-REC-SF3-MP3</t>
  </si>
  <si>
    <t>Surefit3 MP 3</t>
  </si>
  <si>
    <t>Surefit3 MP 3R</t>
  </si>
  <si>
    <t>Surefit3 MP 3L</t>
  </si>
  <si>
    <t>CAM-REC-SF3-MP4</t>
  </si>
  <si>
    <t>Surefit3 MP 4</t>
  </si>
  <si>
    <t>Surefit3 MP 4R</t>
  </si>
  <si>
    <t>Surefit3 MP 4L</t>
  </si>
  <si>
    <t>ABC-REC-SF3-HP0</t>
  </si>
  <si>
    <t>Anthem BCBS</t>
  </si>
  <si>
    <t>ABC-REC-SF3-HP1</t>
  </si>
  <si>
    <t>ABC-REC-SF3-HP2</t>
  </si>
  <si>
    <t>ABC-REC-SF3-HP3</t>
  </si>
  <si>
    <t>ABC-REC-SF3-HP4</t>
  </si>
  <si>
    <t>ABC-REC-SF3-LP0</t>
  </si>
  <si>
    <t>ABC-REC-SF3-LP1</t>
  </si>
  <si>
    <t>ABC-REC-SF3-LP2</t>
  </si>
  <si>
    <t>ABC-REC-SF3-LP3</t>
  </si>
  <si>
    <t>ABC-REC-SF3-LP4</t>
  </si>
  <si>
    <t>ABC-REC-SF3-MP0</t>
  </si>
  <si>
    <t>ABC-REC-SF3-MP1</t>
  </si>
  <si>
    <t>ABC-REC-SF3-MP2</t>
  </si>
  <si>
    <t>ABC-REC-SF3-MP3</t>
  </si>
  <si>
    <t>ELU-REC-MM-1</t>
  </si>
  <si>
    <t>MM 1</t>
  </si>
  <si>
    <t>MM 1R</t>
  </si>
  <si>
    <t>MM 1L</t>
  </si>
  <si>
    <t>ELU-REC-MM-2</t>
  </si>
  <si>
    <t>MM 2</t>
  </si>
  <si>
    <t>MM 2R</t>
  </si>
  <si>
    <t>MM 2L</t>
  </si>
  <si>
    <t>ELU-REC-MM-3</t>
  </si>
  <si>
    <t>MM 3</t>
  </si>
  <si>
    <t>MM 3R</t>
  </si>
  <si>
    <t>MM 3L</t>
  </si>
  <si>
    <t>ELU-REC-MM-4</t>
  </si>
  <si>
    <t>MM 4</t>
  </si>
  <si>
    <t>MM 4R</t>
  </si>
  <si>
    <t>MM 4L</t>
  </si>
  <si>
    <t>ELU-REC-SF3-HP0</t>
  </si>
  <si>
    <t>ELU-REC-SF3-HP1</t>
  </si>
  <si>
    <t>ELU-REC-SF3-HP2</t>
  </si>
  <si>
    <t>ELU-REC-SF3-HP3</t>
  </si>
  <si>
    <t>ELU-REC-SF3-HP4</t>
  </si>
  <si>
    <t>ELU-REC-SF3-LP0</t>
  </si>
  <si>
    <t>ELU-REC-SF3-LP1</t>
  </si>
  <si>
    <t>ELU-REC-SF3-LP2</t>
  </si>
  <si>
    <t>ELU-REC-SF3-LP3</t>
  </si>
  <si>
    <t>ELU-REC-SF3-LP4</t>
  </si>
  <si>
    <t>ELU-REC-SF3-MP0</t>
  </si>
  <si>
    <t>ELU-REC-SF3-MP1</t>
  </si>
  <si>
    <t>ELU-REC-SF3-MP2</t>
  </si>
  <si>
    <t>ELU-REC-SF3-MP3</t>
  </si>
  <si>
    <t>ELU-REC-SF3-MP4</t>
  </si>
  <si>
    <t>FAF-REC-MM-1</t>
  </si>
  <si>
    <t>FAF-REC-MM-2</t>
  </si>
  <si>
    <t>FAF-REC-MM-3</t>
  </si>
  <si>
    <t>FAF-REC-MM-4</t>
  </si>
  <si>
    <t>FAF-REC-SF3-HP0</t>
  </si>
  <si>
    <t>FAF-REC-SF3-HP1</t>
  </si>
  <si>
    <t>FAF-REC-SF3-HP2</t>
  </si>
  <si>
    <t>FAF-REC-SF3-HP3</t>
  </si>
  <si>
    <t>FAF-REC-SF3-HP4</t>
  </si>
  <si>
    <t>FAF-REC-SF3-LP0</t>
  </si>
  <si>
    <t>FAF-REC-SF3-LP1</t>
  </si>
  <si>
    <t>FAF-REC-SF3-LP2</t>
  </si>
  <si>
    <t>FAF-REC-SF3-LP3</t>
  </si>
  <si>
    <t>FAF-REC-SF3-LP4</t>
  </si>
  <si>
    <t>FAF-REC-SF3-MP0</t>
  </si>
  <si>
    <t>FAF-REC-SF3-MP1</t>
  </si>
  <si>
    <t>FAF-REC-SF3-MP2</t>
  </si>
  <si>
    <t>FAF-REC-SF3-MP3</t>
  </si>
  <si>
    <t>FAF-REC-SF3-MP4</t>
  </si>
  <si>
    <t>GHB-REC-SF3-HP0</t>
  </si>
  <si>
    <t>Great Hearing Benefits</t>
  </si>
  <si>
    <t>GHB-REC-SF3-HP1</t>
  </si>
  <si>
    <t>GHB-REC-SF3-HP2</t>
  </si>
  <si>
    <t>GHB-REC-SF3-HP3</t>
  </si>
  <si>
    <t>GHB-REC-SF3-HP4</t>
  </si>
  <si>
    <t>GHB-REC-SF3-LP0</t>
  </si>
  <si>
    <t>GHB-REC-SF3-LP1</t>
  </si>
  <si>
    <t>GHB-REC-SF3-LP2</t>
  </si>
  <si>
    <t>GHB-REC-SF3-LP3</t>
  </si>
  <si>
    <t>GHB-REC-SF3-LP4</t>
  </si>
  <si>
    <t>GHB-REC-SF3-MP0</t>
  </si>
  <si>
    <t>GHB-REC-SF3-MP1</t>
  </si>
  <si>
    <t>GHB-REC-SF3-MP2</t>
  </si>
  <si>
    <t>GHB-REC-SF3-MP3</t>
  </si>
  <si>
    <t>GHB-REC-SF3-MP4</t>
  </si>
  <si>
    <t>CHS-REC-SF3-HP0</t>
  </si>
  <si>
    <t>CHS-REC-SF3-HP1</t>
  </si>
  <si>
    <t>CHS-REC-SF3-HP2</t>
  </si>
  <si>
    <t>CHS-REC-SF3-HP3</t>
  </si>
  <si>
    <t>CHS-REC-SF3-HP4</t>
  </si>
  <si>
    <t>CHS-REC-SF3-LP0</t>
  </si>
  <si>
    <t>CHS-REC-SF3-LP1</t>
  </si>
  <si>
    <t>CHS-REC-SF3-LP2</t>
  </si>
  <si>
    <t>CHS-REC-SF3-LP3</t>
  </si>
  <si>
    <t>CHS-REC-SF3-LP4</t>
  </si>
  <si>
    <t>CHS-REC-SF3-MP0</t>
  </si>
  <si>
    <t>CHS-REC-SF3-MP1</t>
  </si>
  <si>
    <t>CHS-REC-SF3-MP2</t>
  </si>
  <si>
    <t>CHS-REC-SF3-MP3</t>
  </si>
  <si>
    <t>CHS-REC-SF3-MP4</t>
  </si>
  <si>
    <t>CHU-REC-SF3-HP0</t>
  </si>
  <si>
    <t>CHU-REC-SF3-HP1</t>
  </si>
  <si>
    <t>CHU-REC-SF3-HP2</t>
  </si>
  <si>
    <t>CHU-REC-SF3-HP3</t>
  </si>
  <si>
    <t>CHU-REC-SF3-HP4</t>
  </si>
  <si>
    <t>CHU-REC-SF3-LP0</t>
  </si>
  <si>
    <t>CHU-REC-SF3-LP1</t>
  </si>
  <si>
    <t>CHU-REC-SF3-LP2</t>
  </si>
  <si>
    <t>CHU-REC-SF3-LP3</t>
  </si>
  <si>
    <t>CHU-REC-SF3-LP4</t>
  </si>
  <si>
    <t>CHU-REC-SF3-MP0</t>
  </si>
  <si>
    <t>CHU-REC-SF3-MP1</t>
  </si>
  <si>
    <t>CHU-REC-SF3-MP2</t>
  </si>
  <si>
    <t>CHU-REC-SF3-MP3</t>
  </si>
  <si>
    <t>CHU-REC-SF3-MP4</t>
  </si>
  <si>
    <t>HUM-REC-SF3-HP0</t>
  </si>
  <si>
    <t>HUM-REC-SF3-HP1</t>
  </si>
  <si>
    <t>HUM-REC-SF3-HP2</t>
  </si>
  <si>
    <t>HUM-REC-SF3-HP3</t>
  </si>
  <si>
    <t>HUM-REC-SF3-HP4</t>
  </si>
  <si>
    <t>HUM-REC-SF3-LP0</t>
  </si>
  <si>
    <t>HUM-REC-SF3-LP1</t>
  </si>
  <si>
    <t>HUM-REC-SF3-LP2</t>
  </si>
  <si>
    <t>HUM-REC-SF3-LP3</t>
  </si>
  <si>
    <t>HUM-REC-SF3-LP4</t>
  </si>
  <si>
    <t>HUM-REC-SF3-MP0</t>
  </si>
  <si>
    <t>HUM-REC-SF3-MP1</t>
  </si>
  <si>
    <t>HUM-REC-SF3-MP2</t>
  </si>
  <si>
    <t>HUM-REC-SF3-MP3</t>
  </si>
  <si>
    <t>HUM-REC-SF3-MP4</t>
  </si>
  <si>
    <t>CMP-REC-SF3-HP0</t>
  </si>
  <si>
    <t>CMP-REC-SF3-HP1</t>
  </si>
  <si>
    <t>CMP-REC-SF3-HP2</t>
  </si>
  <si>
    <t>CMP-REC-SF3-HP3</t>
  </si>
  <si>
    <t>CMP-REC-SF3-HP4</t>
  </si>
  <si>
    <t>CMP-REC-SF3-LP0</t>
  </si>
  <si>
    <t>CMP-REC-SF3-LP1</t>
  </si>
  <si>
    <t>CMP-REC-SF3-LP2</t>
  </si>
  <si>
    <t>CMP-REC-SF3-LP3</t>
  </si>
  <si>
    <t>CMP-REC-SF3-LP4</t>
  </si>
  <si>
    <t>CMP-REC-SF3-MP0</t>
  </si>
  <si>
    <t>CMP-REC-SF3-MP1</t>
  </si>
  <si>
    <t>CMP-REC-SF3-MP2</t>
  </si>
  <si>
    <t>CMP-REC-SF3-MP3</t>
  </si>
  <si>
    <t>CMP-REC-SF3-MP4</t>
  </si>
  <si>
    <t>MLA-REC-SF3-HP0</t>
  </si>
  <si>
    <t>Mass Labors</t>
  </si>
  <si>
    <t>MLA-REC-SF3-HP1</t>
  </si>
  <si>
    <t>MLA-REC-SF3-HP2</t>
  </si>
  <si>
    <t>MLA-REC-SF3-HP3</t>
  </si>
  <si>
    <t>MLA-REC-SF3-HP4</t>
  </si>
  <si>
    <t>MLA-REC-SF3-LP0</t>
  </si>
  <si>
    <t>MLA-REC-SF3-LP1</t>
  </si>
  <si>
    <t>MLA-REC-SF3-LP2</t>
  </si>
  <si>
    <t>MLA-REC-SF3-LP3</t>
  </si>
  <si>
    <t>MLA-REC-SF3-LP4</t>
  </si>
  <si>
    <t>MLA-REC-SF3-MP0</t>
  </si>
  <si>
    <t>MLA-REC-SF3-MP1</t>
  </si>
  <si>
    <t>MLA-REC-SF3-MP2</t>
  </si>
  <si>
    <t>MLA-REC-SF3-MP3</t>
  </si>
  <si>
    <t>MLA-REC-SF3-MP4</t>
  </si>
  <si>
    <t>CNH-REC-SF3-HP0</t>
  </si>
  <si>
    <t>CNH-REC-SF3-HP1</t>
  </si>
  <si>
    <t>CNH-REC-SF3-HP2</t>
  </si>
  <si>
    <t>CNH-REC-SF3-HP3</t>
  </si>
  <si>
    <t>CNH-REC-SF3-HP4</t>
  </si>
  <si>
    <t>CNH-REC-SF3-LP0</t>
  </si>
  <si>
    <t>CNH-REC-SF3-LP1</t>
  </si>
  <si>
    <t>CNH-REC-SF3-LP2</t>
  </si>
  <si>
    <t>CNH-REC-SF3-LP3</t>
  </si>
  <si>
    <t>CNH-REC-SF3-LP4</t>
  </si>
  <si>
    <t>CNH-REC-SF3-MP0</t>
  </si>
  <si>
    <t>CNH-REC-SF3-MP1</t>
  </si>
  <si>
    <t>CNH-REC-SF3-MP2</t>
  </si>
  <si>
    <t>CNH-REC-SF3-MP3</t>
  </si>
  <si>
    <t>CNH-REC-SF3-MP4</t>
  </si>
  <si>
    <t>REG-REC-MM-1</t>
  </si>
  <si>
    <t>Regular</t>
  </si>
  <si>
    <t>REG-REC-MM-2</t>
  </si>
  <si>
    <t>REG-REC-MM-3</t>
  </si>
  <si>
    <t>REG-REC-MM-4</t>
  </si>
  <si>
    <t>REG-REC-SF3-HP0</t>
  </si>
  <si>
    <t>REG-REC-SF3-HP1</t>
  </si>
  <si>
    <t>REG-REC-SF3-HP2</t>
  </si>
  <si>
    <t>REG-REC-SF3-HP3</t>
  </si>
  <si>
    <t>REG-REC-SF3-HP4</t>
  </si>
  <si>
    <t>REG-REC-SF3-LP0</t>
  </si>
  <si>
    <t>REG-REC-SF3-LP1</t>
  </si>
  <si>
    <t>REG-REC-SF3-LP2</t>
  </si>
  <si>
    <t>REG-REC-SF3-LP3</t>
  </si>
  <si>
    <t>REG-REC-SF3-LP4</t>
  </si>
  <si>
    <t>REG-REC-SF3-MP0</t>
  </si>
  <si>
    <t>REG-REC-SF3-MP1</t>
  </si>
  <si>
    <t>REG-REC-SF3-MP2</t>
  </si>
  <si>
    <t>REG-REC-SF3-MP3</t>
  </si>
  <si>
    <t>REG-REC-SF3-MP4</t>
  </si>
  <si>
    <t>CTH-REC-SF3-HP0</t>
  </si>
  <si>
    <t>CTH-REC-SF3-HP1</t>
  </si>
  <si>
    <t>CTH-REC-SF3-HP2</t>
  </si>
  <si>
    <t>CTH-REC-SF3-HP3</t>
  </si>
  <si>
    <t>CTH-REC-SF3-HP4</t>
  </si>
  <si>
    <t>CTH-REC-SF3-LP0</t>
  </si>
  <si>
    <t>CTH-REC-SF3-LP1</t>
  </si>
  <si>
    <t>CTH-REC-SF3-LP2</t>
  </si>
  <si>
    <t>CTH-REC-SF3-LP3</t>
  </si>
  <si>
    <t>CTH-REC-SF3-LP4</t>
  </si>
  <si>
    <t>CTH-REC-SF3-MP0</t>
  </si>
  <si>
    <t>CTH-REC-SF3-MP1</t>
  </si>
  <si>
    <t>CTH-REC-SF3-MP2</t>
  </si>
  <si>
    <t>CTH-REC-SF3-MP3</t>
  </si>
  <si>
    <t>CTH-REC-SF3-MP4</t>
  </si>
  <si>
    <t>CWC-REC-SF3-HP0</t>
  </si>
  <si>
    <t>CWC-REC-SF3-HP1</t>
  </si>
  <si>
    <t>CWC-REC-SF3-HP2</t>
  </si>
  <si>
    <t>CWC-REC-SF3-HP3</t>
  </si>
  <si>
    <t>CWC-REC-SF3-HP4</t>
  </si>
  <si>
    <t>CWC-REC-SF3-LP0</t>
  </si>
  <si>
    <t>CWC-REC-SF3-LP1</t>
  </si>
  <si>
    <t>CWC-REC-SF3-LP2</t>
  </si>
  <si>
    <t>CWC-REC-SF3-LP3</t>
  </si>
  <si>
    <t>CWC-REC-SF3-LP4</t>
  </si>
  <si>
    <t>CWC-REC-SF3-MP0</t>
  </si>
  <si>
    <t>CWC-REC-SF3-MP1</t>
  </si>
  <si>
    <t>CWC-REC-SF3-MP2</t>
  </si>
  <si>
    <t>CWC-REC-SF3-MP3</t>
  </si>
  <si>
    <t>CWC-REC-SF3-MP4</t>
  </si>
  <si>
    <t>VOL-REC-MM-1</t>
  </si>
  <si>
    <t>VOL-REC-MM-2</t>
  </si>
  <si>
    <t>VOL-REC-MM-3</t>
  </si>
  <si>
    <t>VOL-REC-MM-4</t>
  </si>
  <si>
    <t>VOL-REC-SF3-HP0</t>
  </si>
  <si>
    <t>VOL-REC-SF3-HP1</t>
  </si>
  <si>
    <t>VOL-REC-SF3-HP2</t>
  </si>
  <si>
    <t>VOL-REC-SF3-HP3</t>
  </si>
  <si>
    <t>VOL-REC-SF3-HP4</t>
  </si>
  <si>
    <t>VOL-REC-SF3-LP0</t>
  </si>
  <si>
    <t>VOL-REC-SF3-LP1</t>
  </si>
  <si>
    <t>VOL-REC-SF3-LP2</t>
  </si>
  <si>
    <t>VOL-REC-SF3-LP3</t>
  </si>
  <si>
    <t>VOL-REC-SF3-LP4</t>
  </si>
  <si>
    <t>VOL-REC-SF3-MP0</t>
  </si>
  <si>
    <t>VOL-REC-SF3-MP1</t>
  </si>
  <si>
    <t>VOL-REC-SF3-MP2</t>
  </si>
  <si>
    <t>VOL-REC-SF3-MP3</t>
  </si>
  <si>
    <t>VOL-REC-SF3-MP4</t>
  </si>
  <si>
    <t>MO-REC-MM-1</t>
  </si>
  <si>
    <t>MO-REC-MM-2</t>
  </si>
  <si>
    <t>MO-REC-MM-3</t>
  </si>
  <si>
    <t>MO-REC-MM-4</t>
  </si>
  <si>
    <t>MO-REC-SF3-HP0</t>
  </si>
  <si>
    <t>MO-REC-SF3-HP1</t>
  </si>
  <si>
    <t>MO-REC-SF3-HP2</t>
  </si>
  <si>
    <t>MO-REC-SF3-HP3</t>
  </si>
  <si>
    <t>MO-REC-SF3-HP4</t>
  </si>
  <si>
    <t>MO-REC-SF3-LP0</t>
  </si>
  <si>
    <t>MO-REC-SF3-LP1</t>
  </si>
  <si>
    <t>MO-REC-SF3-LP2</t>
  </si>
  <si>
    <t>MO-REC-SF3-LP3</t>
  </si>
  <si>
    <t>MO-REC-SF3-LP4</t>
  </si>
  <si>
    <t>MO-REC-SF3-MP0</t>
  </si>
  <si>
    <t>MO-REC-SF3-MP1</t>
  </si>
  <si>
    <t>MO-REC-SF3-MP2</t>
  </si>
  <si>
    <t>MO-REC-SF3-MP3</t>
  </si>
  <si>
    <t>MO-REC-SF3-MP4</t>
  </si>
  <si>
    <t>remoteModel</t>
  </si>
  <si>
    <t>remoteType</t>
  </si>
  <si>
    <t>remoteListAmount</t>
  </si>
  <si>
    <t>remoteDiscountAmount</t>
  </si>
  <si>
    <t>remoteAmount</t>
  </si>
  <si>
    <t>remoteDiscountDescription</t>
  </si>
  <si>
    <t>AS-CHGR-PREM</t>
  </si>
  <si>
    <t>Charger</t>
  </si>
  <si>
    <t>Premium</t>
  </si>
  <si>
    <t>Achieve Special</t>
  </si>
  <si>
    <t>AS-REM-MYPALMICRO</t>
  </si>
  <si>
    <t>myPal Micro Only</t>
  </si>
  <si>
    <t>AS-REM-MYPALPRO</t>
  </si>
  <si>
    <t>myPal Pro Only</t>
  </si>
  <si>
    <t>AS-REM-TVLINK2</t>
  </si>
  <si>
    <t>TV Link 2 Only</t>
  </si>
  <si>
    <t>CAM-CHGR-DT</t>
  </si>
  <si>
    <t>Desktop</t>
  </si>
  <si>
    <t>CAM-CHGR-STD</t>
  </si>
  <si>
    <t>Standard</t>
  </si>
  <si>
    <t>ABC-CHGR-DT</t>
  </si>
  <si>
    <t>ABC-CHGR-STD</t>
  </si>
  <si>
    <t>ABC-CHGR-PREM</t>
  </si>
  <si>
    <t>AND-CHGR-DT</t>
  </si>
  <si>
    <t>Anthem Discount</t>
  </si>
  <si>
    <t>AND-CHGR-STD</t>
  </si>
  <si>
    <t>AND-CHGR-PREM</t>
  </si>
  <si>
    <t>BCF-CHGR-DT</t>
  </si>
  <si>
    <t>BC/BS Federal</t>
  </si>
  <si>
    <t>BCF-CHGR-STD</t>
  </si>
  <si>
    <t>BCF-CHGR-PREM</t>
  </si>
  <si>
    <t>B36-CHGR-DT</t>
  </si>
  <si>
    <t>Blue365 Program</t>
  </si>
  <si>
    <t>B36-CHGR-STD</t>
  </si>
  <si>
    <t>B36-CHGR-PREM</t>
  </si>
  <si>
    <t>ELU-CHGR-DT</t>
  </si>
  <si>
    <t>ELU-CHGR-STD</t>
  </si>
  <si>
    <t>ELU-CHGR-PREM</t>
  </si>
  <si>
    <t>FAF-CHGR-DT</t>
  </si>
  <si>
    <t>FAF-CHGR-STD</t>
  </si>
  <si>
    <t>FAF-CHGR-PREM</t>
  </si>
  <si>
    <t>GB-REM-PERFCLEAN</t>
  </si>
  <si>
    <t>Perfect Clean</t>
  </si>
  <si>
    <t>Gold Bundle</t>
  </si>
  <si>
    <t>GB-REM-TVSTRPL</t>
  </si>
  <si>
    <t>TV Streamer Plus</t>
  </si>
  <si>
    <t>CHA-CHGR-DT</t>
  </si>
  <si>
    <t>HCS Anthem Competitive</t>
  </si>
  <si>
    <t>CHA-CHGR-STD</t>
  </si>
  <si>
    <t>CHS-CHGR-DT</t>
  </si>
  <si>
    <t>CHS-CHGR-STD</t>
  </si>
  <si>
    <t>CHU-CHGR-DT</t>
  </si>
  <si>
    <t>CHU-CHGR-STD</t>
  </si>
  <si>
    <t>HUM-CHGR-DT</t>
  </si>
  <si>
    <t>HUM-CHGR-STD</t>
  </si>
  <si>
    <t>HUM-CHGR-PREM</t>
  </si>
  <si>
    <t>CMP-CHGR-DT</t>
  </si>
  <si>
    <t>CMP-CHGR-STD</t>
  </si>
  <si>
    <t>MLA-CHGR-DT</t>
  </si>
  <si>
    <t>CNH-CHGR-DT</t>
  </si>
  <si>
    <t>CNH-CHGR-STD</t>
  </si>
  <si>
    <t>OHGB-REM-PERFCLEAN</t>
  </si>
  <si>
    <t>Open House Gold Bundle</t>
  </si>
  <si>
    <t>OHGB-REM-MULTIMIC</t>
  </si>
  <si>
    <t>Multi</t>
  </si>
  <si>
    <t>Mic</t>
  </si>
  <si>
    <t>OHPB-REM-PERFCLEAN</t>
  </si>
  <si>
    <t>Open House Platinum Bundle</t>
  </si>
  <si>
    <t>OHPB-REM-MULTIMIC</t>
  </si>
  <si>
    <t>OHPB-REM-TVSTRPL</t>
  </si>
  <si>
    <t>OHSB-REM-PERFCLEAN</t>
  </si>
  <si>
    <t>Open House Silver Bundle</t>
  </si>
  <si>
    <t>OHSB-REM-TVSTRPL</t>
  </si>
  <si>
    <t>OH-CHGR-STD</t>
  </si>
  <si>
    <t>PB-REM-PERFCLEAN</t>
  </si>
  <si>
    <t>Platinum Bundle</t>
  </si>
  <si>
    <t>PB-REM-MULTIMIC</t>
  </si>
  <si>
    <t>PB-REM-TVSTRPL</t>
  </si>
  <si>
    <t>REG-CHGR-DT</t>
  </si>
  <si>
    <t>REG-CHGR-STD</t>
  </si>
  <si>
    <t>REG-CHGR-PREM</t>
  </si>
  <si>
    <t>REG-REM-REMOTE2</t>
  </si>
  <si>
    <t>Remote Control 3</t>
  </si>
  <si>
    <t>Remote Control 2</t>
  </si>
  <si>
    <t>REG-REM-REMOTE3</t>
  </si>
  <si>
    <t>REG-REM-MYPALMICRO</t>
  </si>
  <si>
    <t>REG-REM-MYPALPRO</t>
  </si>
  <si>
    <t>REG-REM-PHONELINK2</t>
  </si>
  <si>
    <t>Phone Link 2</t>
  </si>
  <si>
    <t>REG-REM-TVLINK2</t>
  </si>
  <si>
    <t>REG-REM-PERFCLEAN</t>
  </si>
  <si>
    <t>REG-REM-TVSTRPL</t>
  </si>
  <si>
    <t>TV Streamer Plus Only</t>
  </si>
  <si>
    <t>REG-REM-MULTIMIC</t>
  </si>
  <si>
    <t>CTH-CHGR-DT</t>
  </si>
  <si>
    <t>CTH-CHGR-STD</t>
  </si>
  <si>
    <t>CWC-CHGR-DT</t>
  </si>
  <si>
    <t>CWC-CHGR-STD</t>
  </si>
  <si>
    <t>VOL-CHGR-DT</t>
  </si>
  <si>
    <t>VOL-CHGR-STD</t>
  </si>
  <si>
    <t>VOL-CHGR-PREM</t>
  </si>
  <si>
    <t>VOL-REM-REMOTE2</t>
  </si>
  <si>
    <t>VOL-REM-REMOTE3</t>
  </si>
  <si>
    <t>VOL-REM-MYPALMICRO</t>
  </si>
  <si>
    <t>VOL-REM-MYPALPRO</t>
  </si>
  <si>
    <t>VOL-REM-PHONELINK2</t>
  </si>
  <si>
    <t>VOL-REM-TVLINK2</t>
  </si>
  <si>
    <t>VOL-REM-PERFCLEAN</t>
  </si>
  <si>
    <t>VOL-REM-TVSTRPL</t>
  </si>
  <si>
    <t>VOL-REM-MULTIMIC</t>
  </si>
  <si>
    <t>VOL-REM-TVLINK2ONLY</t>
  </si>
  <si>
    <t>VOL-REM-MYPALMICROONLY</t>
  </si>
  <si>
    <t>VOL-REM-PHONELINK2ONLY</t>
  </si>
  <si>
    <t>serviceDescription</t>
  </si>
  <si>
    <t>serviceDiscountDescription</t>
  </si>
  <si>
    <t>serviceListAmount</t>
  </si>
  <si>
    <t>serviceDiscountAmount</t>
  </si>
  <si>
    <t>serviceAmount</t>
  </si>
  <si>
    <t>REG-SVC-PAFITTING</t>
  </si>
  <si>
    <t>PA Initial Fit Fee</t>
  </si>
  <si>
    <t>REG-SVC-OPTSVC</t>
  </si>
  <si>
    <t>Optimum 3-Year Service</t>
  </si>
  <si>
    <t>accessoryDescription</t>
  </si>
  <si>
    <t>accessoryDiscountDescription</t>
  </si>
  <si>
    <t>accessoryListAmount</t>
  </si>
  <si>
    <t>accessoryDiscountAmount</t>
  </si>
  <si>
    <t>accessoryAmount</t>
  </si>
  <si>
    <t>REG-ACC-PERFDRYLUX</t>
  </si>
  <si>
    <t>PerfectDry Lux</t>
  </si>
  <si>
    <t>REG-ACC-PERFCLEANREFILL</t>
  </si>
  <si>
    <t>Perfect Clean refills</t>
  </si>
  <si>
    <t>HEARING AIDS</t>
  </si>
  <si>
    <t>Payment Type</t>
  </si>
  <si>
    <t>Choose one</t>
  </si>
  <si>
    <t>All Private Pay (Cash, Check &amp; Credit Card)</t>
  </si>
  <si>
    <t>AllWell Financing</t>
  </si>
  <si>
    <t>AllWell Lease Upgrade</t>
  </si>
  <si>
    <t>Beltone RIE Digital Illuminate 17 62S-DRWC</t>
  </si>
  <si>
    <t>Beltone Illuminate 17 62S-DRWC Digital RIE</t>
  </si>
  <si>
    <t>Beltone RIE Digital Illuminate 4 62S-DRWC</t>
  </si>
  <si>
    <t>Beltone Illuminate 4 62S-DRWC Digital RIE</t>
  </si>
  <si>
    <t>Beltone RIE Digital Illuminate 6 62S-DRWC</t>
  </si>
  <si>
    <t>Beltone Illuminate 6 62S-DRWC Digital RIE</t>
  </si>
  <si>
    <t>Beltone RIE Digital Illuminate 9 62S-DRWC</t>
  </si>
  <si>
    <t>Beltone Illuminate 9 62S-DRWC Digital RIE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</si>
</sst>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&quot;$&quot;#,##0.00"/>
  </numFmts>
  <fonts count="12">
    <font>
      <sz val="9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4"/>
      <color theme="1"/>
      <name val="IDAutomationHC39M Free Version"/>
      <family val="1"/>
      <charset val="2"/>
    </font>
    <font>
      <b/>
      <sz val="9"/>
      <color theme="0"/>
      <name val="Arial"/>
      <family val="2"/>
    </font>
    <font>
      <sz val="8"/>
      <name val="Arial"/>
      <family val="2"/>
    </font>
    <font>
      <b/>
      <sz val="10"/>
      <color theme="1"/>
      <name val="Arial"/>
      <family val="2"/>
    </font>
    <font>
      <b/>
      <sz val="10"/>
      <color rgb="FFFF0000"/>
      <name val="Arial"/>
      <family val="2"/>
    </font>
    <font>
      <b/>
      <u/>
      <sz val="10"/>
      <color theme="1"/>
      <name val="Arial"/>
      <family val="2"/>
    </font>
    <font>
      <sz val="11"/>
      <color rgb="FF3F3F76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/>
        <bgColor theme="7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rgb="FFFFCC99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7" tint="0.39997558519241921"/>
      </left>
      <right/>
      <top/>
      <bottom style="thin">
        <color theme="7" tint="0.39997558519241921"/>
      </bottom>
      <diagonal/>
    </border>
    <border>
      <left/>
      <right/>
      <top/>
      <bottom style="thin">
        <color theme="7" tint="0.39997558519241921"/>
      </bottom>
      <diagonal/>
    </border>
    <border>
      <left/>
      <right style="thin">
        <color theme="7" tint="0.39997558519241921"/>
      </right>
      <top/>
      <bottom style="thin">
        <color theme="7" tint="0.39997558519241921"/>
      </bottom>
      <diagonal/>
    </border>
    <border>
      <left/>
      <right/>
      <top style="thin">
        <color theme="7" tint="0.39997558519241921"/>
      </top>
      <bottom style="thin">
        <color theme="7" tint="0.39997558519241921"/>
      </bottom>
      <diagonal/>
    </border>
    <border>
      <left/>
      <right/>
      <top style="thin">
        <color theme="7" tint="0.39997558519241921"/>
      </top>
      <bottom/>
      <diagonal/>
    </border>
    <border>
      <left style="thin">
        <color theme="7" tint="0.39997558519241921"/>
      </left>
      <right/>
      <top style="thin">
        <color theme="7" tint="0.39997558519241921"/>
      </top>
      <bottom style="thin">
        <color theme="7" tint="0.39997558519241921"/>
      </bottom>
      <diagonal/>
    </border>
    <border>
      <left/>
      <right style="thin">
        <color theme="7" tint="0.39997558519241921"/>
      </right>
      <top style="thin">
        <color theme="7" tint="0.39997558519241921"/>
      </top>
      <bottom style="thin">
        <color theme="7" tint="0.39997558519241921"/>
      </bottom>
      <diagonal/>
    </border>
    <border>
      <left style="thin">
        <color theme="7" tint="0.39997558519241921"/>
      </left>
      <right/>
      <top style="thin">
        <color theme="7" tint="0.39997558519241921"/>
      </top>
      <bottom/>
      <diagonal/>
    </border>
    <border>
      <left/>
      <right style="thin">
        <color theme="7" tint="0.39997558519241921"/>
      </right>
      <top style="thin">
        <color theme="7" tint="0.3999755851924192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1" fillId="6" borderId="19" applyNumberFormat="0" applyAlignment="0" applyProtection="0"/>
  </cellStyleXfs>
  <cellXfs count="103">
    <xf numFmtId="0" fontId="0" fillId="0" borderId="0" xfId="0"/>
    <xf numFmtId="0" fontId="4" fillId="0" borderId="0" xfId="0" applyFont="1"/>
    <xf numFmtId="0" fontId="0" fillId="0" borderId="0" xfId="0" applyAlignment="1">
      <alignment horizontal="center"/>
    </xf>
    <xf numFmtId="43" fontId="4" fillId="0" borderId="0" xfId="1" applyFont="1" applyFill="1" applyBorder="1"/>
    <xf numFmtId="43" fontId="0" fillId="0" borderId="0" xfId="1" applyFont="1" applyFill="1" applyBorder="1"/>
    <xf numFmtId="0" fontId="0" fillId="0" borderId="0" xfId="0" applyAlignment="1">
      <alignment vertical="center"/>
    </xf>
    <xf numFmtId="49" fontId="0" fillId="0" borderId="0" xfId="0" applyNumberFormat="1"/>
    <xf numFmtId="0" fontId="5" fillId="0" borderId="0" xfId="0" applyFont="1" applyAlignment="1">
      <alignment horizontal="center"/>
    </xf>
    <xf numFmtId="1" fontId="4" fillId="0" borderId="0" xfId="0" applyNumberFormat="1" applyFont="1"/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6" fillId="3" borderId="10" xfId="0" applyFont="1" applyFill="1" applyBorder="1"/>
    <xf numFmtId="0" fontId="6" fillId="3" borderId="11" xfId="0" applyFont="1" applyFill="1" applyBorder="1"/>
    <xf numFmtId="0" fontId="6" fillId="3" borderId="12" xfId="0" applyFont="1" applyFill="1" applyBorder="1"/>
    <xf numFmtId="43" fontId="0" fillId="0" borderId="0" xfId="0" applyNumberFormat="1"/>
    <xf numFmtId="43" fontId="0" fillId="0" borderId="0" xfId="1" applyFont="1"/>
    <xf numFmtId="2" fontId="0" fillId="0" borderId="0" xfId="0" applyNumberFormat="1"/>
    <xf numFmtId="2" fontId="0" fillId="0" borderId="0" xfId="0" applyNumberFormat="1" applyAlignment="1">
      <alignment horizontal="left" vertical="center"/>
    </xf>
    <xf numFmtId="43" fontId="0" fillId="0" borderId="0" xfId="1" applyFont="1" applyAlignment="1">
      <alignment vertical="center"/>
    </xf>
    <xf numFmtId="43" fontId="0" fillId="0" borderId="13" xfId="1" applyFont="1" applyBorder="1"/>
    <xf numFmtId="43" fontId="0" fillId="0" borderId="0" xfId="1" applyFont="1" applyBorder="1"/>
    <xf numFmtId="9" fontId="0" fillId="0" borderId="0" xfId="2" applyFont="1"/>
    <xf numFmtId="0" fontId="5" fillId="0" borderId="0" xfId="0" applyFont="1" applyAlignment="1">
      <alignment horizontal="left" vertical="center"/>
    </xf>
    <xf numFmtId="164" fontId="0" fillId="0" borderId="0" xfId="1" applyNumberFormat="1" applyFont="1" applyBorder="1"/>
    <xf numFmtId="43" fontId="0" fillId="0" borderId="14" xfId="1" applyFont="1" applyBorder="1"/>
    <xf numFmtId="43" fontId="8" fillId="0" borderId="0" xfId="1" applyFont="1" applyProtection="1"/>
    <xf numFmtId="43" fontId="8" fillId="0" borderId="1" xfId="1" applyFont="1" applyBorder="1" applyProtection="1"/>
    <xf numFmtId="0" fontId="2" fillId="0" borderId="0" xfId="0" applyFont="1"/>
    <xf numFmtId="0" fontId="9" fillId="0" borderId="0" xfId="0" applyFont="1" applyAlignment="1">
      <alignment vertical="center"/>
    </xf>
    <xf numFmtId="0" fontId="9" fillId="0" borderId="0" xfId="0" applyFont="1"/>
    <xf numFmtId="0" fontId="10" fillId="0" borderId="4" xfId="0" applyFont="1" applyBorder="1" applyAlignment="1">
      <alignment horizontal="right"/>
    </xf>
    <xf numFmtId="0" fontId="10" fillId="0" borderId="5" xfId="0" applyFont="1" applyBorder="1" applyAlignment="1">
      <alignment horizontal="right"/>
    </xf>
    <xf numFmtId="0" fontId="8" fillId="0" borderId="0" xfId="0" applyFont="1" applyAlignment="1">
      <alignment horizontal="center"/>
    </xf>
    <xf numFmtId="0" fontId="8" fillId="0" borderId="6" xfId="0" applyFont="1" applyBorder="1" applyAlignment="1">
      <alignment horizontal="right"/>
    </xf>
    <xf numFmtId="0" fontId="8" fillId="0" borderId="8" xfId="0" applyFont="1" applyBorder="1" applyAlignment="1">
      <alignment horizontal="right"/>
    </xf>
    <xf numFmtId="0" fontId="8" fillId="0" borderId="0" xfId="0" applyFont="1" applyAlignment="1">
      <alignment horizontal="right"/>
    </xf>
    <xf numFmtId="43" fontId="8" fillId="0" borderId="0" xfId="0" applyNumberFormat="1" applyFont="1"/>
    <xf numFmtId="0" fontId="9" fillId="0" borderId="0" xfId="0" applyFont="1" applyAlignment="1">
      <alignment horizontal="right"/>
    </xf>
    <xf numFmtId="49" fontId="4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13" xfId="0" applyNumberFormat="1" applyBorder="1"/>
    <xf numFmtId="0" fontId="1" fillId="0" borderId="0" xfId="0" applyFont="1"/>
    <xf numFmtId="43" fontId="1" fillId="0" borderId="0" xfId="0" applyNumberFormat="1" applyFont="1"/>
    <xf numFmtId="43" fontId="1" fillId="0" borderId="0" xfId="1" applyFont="1" applyFill="1"/>
    <xf numFmtId="43" fontId="1" fillId="0" borderId="0" xfId="1" applyFont="1" applyFill="1" applyBorder="1"/>
    <xf numFmtId="1" fontId="1" fillId="0" borderId="0" xfId="1" applyNumberFormat="1" applyFont="1" applyFill="1" applyBorder="1"/>
    <xf numFmtId="49" fontId="1" fillId="0" borderId="0" xfId="1" applyNumberFormat="1" applyFont="1" applyFill="1"/>
    <xf numFmtId="49" fontId="1" fillId="0" borderId="0" xfId="1" applyNumberFormat="1" applyFont="1" applyFill="1" applyBorder="1"/>
    <xf numFmtId="49" fontId="4" fillId="0" borderId="0" xfId="1" applyNumberFormat="1" applyFont="1" applyFill="1" applyBorder="1"/>
    <xf numFmtId="49" fontId="0" fillId="0" borderId="0" xfId="1" applyNumberFormat="1" applyFont="1" applyFill="1"/>
    <xf numFmtId="49" fontId="0" fillId="0" borderId="0" xfId="1" applyNumberFormat="1" applyFont="1"/>
    <xf numFmtId="49" fontId="0" fillId="0" borderId="16" xfId="1" applyNumberFormat="1" applyFont="1" applyFill="1" applyBorder="1"/>
    <xf numFmtId="49" fontId="0" fillId="0" borderId="0" xfId="1" applyNumberFormat="1" applyFont="1" applyFill="1" applyBorder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Continuous"/>
    </xf>
    <xf numFmtId="43" fontId="1" fillId="0" borderId="7" xfId="1" applyFont="1" applyBorder="1" applyAlignment="1" applyProtection="1">
      <alignment horizontal="left"/>
    </xf>
    <xf numFmtId="43" fontId="1" fillId="0" borderId="7" xfId="1" applyFont="1" applyBorder="1" applyAlignment="1" applyProtection="1">
      <alignment horizontal="right"/>
    </xf>
    <xf numFmtId="43" fontId="1" fillId="0" borderId="0" xfId="1" applyFont="1" applyProtection="1"/>
    <xf numFmtId="43" fontId="1" fillId="0" borderId="7" xfId="1" applyFont="1" applyBorder="1" applyProtection="1"/>
    <xf numFmtId="43" fontId="1" fillId="0" borderId="7" xfId="0" applyNumberFormat="1" applyFont="1" applyBorder="1"/>
    <xf numFmtId="43" fontId="1" fillId="0" borderId="9" xfId="1" applyFont="1" applyBorder="1" applyAlignment="1" applyProtection="1">
      <alignment horizontal="left"/>
    </xf>
    <xf numFmtId="43" fontId="1" fillId="0" borderId="9" xfId="0" applyNumberFormat="1" applyFont="1" applyBorder="1"/>
    <xf numFmtId="43" fontId="1" fillId="0" borderId="0" xfId="1" applyFont="1" applyAlignment="1" applyProtection="1">
      <alignment horizontal="left"/>
    </xf>
    <xf numFmtId="43" fontId="1" fillId="0" borderId="0" xfId="1" applyFont="1" applyAlignment="1" applyProtection="1"/>
    <xf numFmtId="0" fontId="1" fillId="0" borderId="0" xfId="0" applyFont="1" applyAlignment="1">
      <alignment horizontal="left"/>
    </xf>
    <xf numFmtId="43" fontId="1" fillId="0" borderId="0" xfId="1" applyFont="1" applyAlignment="1" applyProtection="1">
      <alignment horizontal="right"/>
    </xf>
    <xf numFmtId="0" fontId="1" fillId="2" borderId="2" xfId="0" applyFont="1" applyFill="1" applyBorder="1"/>
    <xf numFmtId="0" fontId="1" fillId="2" borderId="3" xfId="0" applyFont="1" applyFill="1" applyBorder="1" applyAlignment="1" applyProtection="1">
      <alignment horizontal="right"/>
      <protection locked="0"/>
    </xf>
    <xf numFmtId="49" fontId="1" fillId="0" borderId="0" xfId="1" applyNumberFormat="1" applyFont="1" applyFill="1" applyBorder="1" applyAlignment="1">
      <alignment horizontal="center"/>
    </xf>
    <xf numFmtId="43" fontId="1" fillId="0" borderId="0" xfId="1" applyFont="1"/>
    <xf numFmtId="1" fontId="1" fillId="0" borderId="0" xfId="1" applyNumberFormat="1" applyFont="1"/>
    <xf numFmtId="49" fontId="1" fillId="0" borderId="0" xfId="1" applyNumberFormat="1" applyFont="1" applyAlignment="1">
      <alignment horizontal="center"/>
    </xf>
    <xf numFmtId="49" fontId="1" fillId="0" borderId="0" xfId="1" applyNumberFormat="1" applyFont="1"/>
    <xf numFmtId="43" fontId="1" fillId="0" borderId="0" xfId="1" applyFont="1" applyFill="1" applyBorder="1" applyAlignment="1">
      <alignment horizontal="center"/>
    </xf>
    <xf numFmtId="43" fontId="1" fillId="0" borderId="13" xfId="1" applyFont="1" applyFill="1" applyBorder="1" applyAlignment="1">
      <alignment horizontal="center"/>
    </xf>
    <xf numFmtId="0" fontId="1" fillId="0" borderId="15" xfId="0" applyFont="1" applyBorder="1"/>
    <xf numFmtId="43" fontId="1" fillId="0" borderId="13" xfId="1" applyFont="1" applyFill="1" applyBorder="1"/>
    <xf numFmtId="1" fontId="1" fillId="0" borderId="13" xfId="1" applyNumberFormat="1" applyFont="1" applyFill="1" applyBorder="1"/>
    <xf numFmtId="0" fontId="1" fillId="0" borderId="17" xfId="0" applyFont="1" applyBorder="1"/>
    <xf numFmtId="43" fontId="1" fillId="0" borderId="14" xfId="1" applyFont="1" applyFill="1" applyBorder="1"/>
    <xf numFmtId="1" fontId="1" fillId="0" borderId="14" xfId="1" applyNumberFormat="1" applyFont="1" applyFill="1" applyBorder="1"/>
    <xf numFmtId="0" fontId="1" fillId="0" borderId="13" xfId="0" applyFont="1" applyBorder="1"/>
    <xf numFmtId="43" fontId="1" fillId="0" borderId="13" xfId="1" applyFont="1" applyBorder="1"/>
    <xf numFmtId="49" fontId="1" fillId="0" borderId="13" xfId="1" applyNumberFormat="1" applyFont="1" applyBorder="1"/>
    <xf numFmtId="0" fontId="1" fillId="0" borderId="14" xfId="0" applyFont="1" applyBorder="1"/>
    <xf numFmtId="43" fontId="1" fillId="0" borderId="14" xfId="1" applyFont="1" applyFill="1" applyBorder="1" applyAlignment="1">
      <alignment horizontal="center"/>
    </xf>
    <xf numFmtId="0" fontId="1" fillId="5" borderId="0" xfId="0" applyFont="1" applyFill="1"/>
    <xf numFmtId="49" fontId="1" fillId="0" borderId="13" xfId="1" applyNumberFormat="1" applyFont="1" applyFill="1" applyBorder="1" applyAlignment="1">
      <alignment horizontal="center"/>
    </xf>
    <xf numFmtId="43" fontId="1" fillId="0" borderId="0" xfId="1" applyFont="1" applyBorder="1"/>
    <xf numFmtId="1" fontId="1" fillId="0" borderId="0" xfId="1" applyNumberFormat="1" applyFont="1" applyBorder="1"/>
    <xf numFmtId="49" fontId="1" fillId="0" borderId="0" xfId="1" applyNumberFormat="1" applyFont="1" applyBorder="1" applyAlignment="1">
      <alignment horizontal="center"/>
    </xf>
    <xf numFmtId="49" fontId="1" fillId="0" borderId="0" xfId="1" applyNumberFormat="1" applyFont="1" applyBorder="1"/>
    <xf numFmtId="49" fontId="0" fillId="0" borderId="14" xfId="0" applyNumberFormat="1" applyBorder="1"/>
    <xf numFmtId="49" fontId="0" fillId="0" borderId="0" xfId="1" applyNumberFormat="1" applyFont="1" applyBorder="1"/>
    <xf numFmtId="49" fontId="0" fillId="0" borderId="18" xfId="1" applyNumberFormat="1" applyFont="1" applyFill="1" applyBorder="1"/>
    <xf numFmtId="43" fontId="11" fillId="6" borderId="19" xfId="3" applyNumberFormat="1"/>
    <xf numFmtId="43" fontId="11" fillId="6" borderId="19" xfId="3" applyNumberFormat="1" applyAlignment="1">
      <alignment horizontal="center"/>
    </xf>
    <xf numFmtId="43" fontId="1" fillId="0" borderId="0" xfId="0" applyNumberFormat="1" applyFont="1" applyAlignment="1">
      <alignment horizontal="center"/>
    </xf>
    <xf numFmtId="0" fontId="8" fillId="0" borderId="0" xfId="0" applyFont="1" applyAlignment="1">
      <alignment horizontal="right"/>
    </xf>
    <xf numFmtId="0" fontId="1" fillId="4" borderId="2" xfId="0" applyFont="1" applyFill="1" applyBorder="1" applyAlignment="1" applyProtection="1">
      <alignment horizontal="center" vertical="center"/>
      <protection locked="0"/>
    </xf>
    <xf numFmtId="0" fontId="1" fillId="4" borderId="3" xfId="0" applyFont="1" applyFill="1" applyBorder="1" applyAlignment="1" applyProtection="1">
      <alignment horizontal="center" vertical="center"/>
      <protection locked="0"/>
    </xf>
  </cellXfs>
  <cellStyles count="4">
    <cellStyle name="Comma" xfId="1" builtinId="3"/>
    <cellStyle name="Input" xfId="3" builtinId="20"/>
    <cellStyle name="Normal" xfId="0" builtinId="0"/>
    <cellStyle name="Percent" xfId="2" builtinId="5"/>
  </cellStyles>
  <dxfs count="59"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4"/>
        <color theme="1"/>
        <name val="IDAutomationHC39M Free Version"/>
        <family val="1"/>
        <charset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4"/>
        <color theme="1"/>
        <name val="IDAutomationHC39M Free Version"/>
        <family val="1"/>
        <charset val="2"/>
        <scheme val="none"/>
      </font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border outline="0">
        <top style="thin">
          <color theme="7" tint="0.39997558519241921"/>
        </top>
      </border>
    </dxf>
    <dxf>
      <alignment vertical="center" textRotation="0" wrapText="0" indent="0" justifyLastLine="0" shrinkToFit="0" readingOrder="0"/>
    </dxf>
    <dxf>
      <border outline="0">
        <bottom style="thin">
          <color theme="7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Arial"/>
        <family val="2"/>
        <scheme val="none"/>
      </font>
      <fill>
        <patternFill patternType="solid">
          <fgColor theme="7"/>
          <bgColor theme="7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5" formatCode="_(* #,##0.00_);_(* \(#,##0.00\);_(* &quot;-&quot;??_);_(@_)"/>
    </dxf>
    <dxf>
      <numFmt numFmtId="164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4"/>
        <color theme="1"/>
        <name val="IDAutomationHC39M Free Version"/>
        <family val="1"/>
        <charset val="2"/>
        <scheme val="none"/>
      </font>
      <alignment horizontal="center" vertical="center" textRotation="0" wrapText="0" indent="0" justifyLastLine="0" shrinkToFit="0" readingOrder="0"/>
    </dxf>
    <dxf>
      <border outline="0">
        <top style="thin">
          <color theme="7" tint="0.39997558519241921"/>
        </top>
      </border>
    </dxf>
    <dxf>
      <border outline="0">
        <bottom style="thin">
          <color theme="7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Arial"/>
        <family val="2"/>
        <scheme val="none"/>
      </font>
      <fill>
        <patternFill patternType="solid">
          <fgColor theme="7"/>
          <bgColor theme="7"/>
        </patternFill>
      </fill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2" formatCode="0.00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4"/>
        <color theme="1"/>
        <name val="IDAutomationHC39M Free Version"/>
        <family val="1"/>
        <charset val="2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4"/>
        <color theme="1"/>
        <name val="IDAutomationHC39M Free Version"/>
        <family val="1"/>
        <charset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sz val="10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35" formatCode="_(* #,##0.00_);_(* \(#,##0.00\);_(* &quot;-&quot;??_);_(@_)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35" formatCode="_(* #,##0.00_);_(* \(#,##0.00\);_(* &quot;-&quot;??_);_(@_)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35" formatCode="_(* #,##0.00_);_(* \(#,##0.00\);_(* &quot;-&quot;??_);_(@_)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35" formatCode="_(* #,##0.00_);_(* \(#,##0.00\);_(* &quot;-&quot;??_);_(@_)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35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DE93EFC-1E30-486E-83F2-F1CC19CD90C0}" name="HearingAids7" displayName="HearingAids7" ref="A1:V89" totalsRowShown="0" headerRowDxfId="58" dataDxfId="57">
  <autoFilter ref="A1:V89" xr:uid="{DDE93EFC-1E30-486E-83F2-F1CC19CD90C0}"/>
  <sortState xmlns:xlrd2="http://schemas.microsoft.com/office/spreadsheetml/2017/richdata2" ref="A67:V76">
    <sortCondition ref="I1:I80"/>
  </sortState>
  <tableColumns count="22">
    <tableColumn id="1" xr3:uid="{A759776D-F1C7-439A-A017-B16601DE8834}" name="haModel" dataDxfId="56"/>
    <tableColumn id="15" xr3:uid="{DB2EB2AC-0D9E-4335-9000-DEA2CFAF79BE}" name="haDescription" dataDxfId="55"/>
    <tableColumn id="13" xr3:uid="{A8AFAABA-873B-479C-A0A1-068DA38EFBB1}" name="BiNuralMSRP w/Charger" dataDxfId="54">
      <calculatedColumnFormula>(HearingAids7[[#This Row],[haMSRP]]*2)+HearingAids7[[#This Row],[chargerPrice]]</calculatedColumnFormula>
    </tableColumn>
    <tableColumn id="3" xr3:uid="{4320CF9C-2A9B-4102-AF79-01876AA8A2EF}" name="haMSRP" dataCellStyle="Input"/>
    <tableColumn id="17" xr3:uid="{4C421CF5-5A00-4BAB-9342-FFFA22CE1848}" name="Discount Type 1" dataDxfId="53" dataCellStyle="Comma"/>
    <tableColumn id="18" xr3:uid="{8DC0A1BB-67C5-4FA7-9D6C-1F3492CDCE35}" name="Discount Amount 1" dataDxfId="52" dataCellStyle="Comma">
      <calculatedColumnFormula>HearingAids7[[#This Row],[haMSRP]]-((HearingAids7[[#This Row],[ListPriceBinural]]-HearingAids7[[#This Row],[chargerPrice]])/2)</calculatedColumnFormula>
    </tableColumn>
    <tableColumn id="14" xr3:uid="{3C382293-5620-4D91-9805-F4C06BA1B79D}" name="HAListPrice" dataDxfId="51" dataCellStyle="Comma">
      <calculatedColumnFormula>HearingAids7[[#This Row],[haMSRP]]-HearingAids7[[#This Row],[Discount Amount 1]]</calculatedColumnFormula>
    </tableColumn>
    <tableColumn id="8" xr3:uid="{9BCEF15A-97C4-45E4-AD6E-381196FF2F4C}" name="ListPriceBinural" dataDxfId="50" dataCellStyle="Input"/>
    <tableColumn id="2" xr3:uid="{39D3FD35-3ACA-4445-A872-4D74E2EF38DC}" name="Discount Type 2" dataDxfId="49" dataCellStyle="Comma"/>
    <tableColumn id="6" xr3:uid="{00DDF5BF-EC07-4D8E-95CD-80770F4B2F7B}" name="Discount Amount 2" dataDxfId="48" dataCellStyle="Comma">
      <calculatedColumnFormula>(HearingAids7[[#This Row],[haMSRP]]-HearingAids7[[#This Row],[Discount Amount 1]])-(HearingAids7[[#This Row],[haNetPriceBinural]]-HearingAids7[[#This Row],[chargerPrice]])/2</calculatedColumnFormula>
    </tableColumn>
    <tableColumn id="7" xr3:uid="{A092CA1D-CDF6-4BEE-9660-5E274D9BBCB7}" name="haNetPrice" dataDxfId="47" dataCellStyle="Comma">
      <calculatedColumnFormula>HearingAids7[[#This Row],[HAListPrice]]-HearingAids7[[#This Row],[Discount Amount 2]]</calculatedColumnFormula>
    </tableColumn>
    <tableColumn id="20" xr3:uid="{A444CAEB-7549-4620-A20C-551B5BE7881A}" name="haNetPriceBinural" dataDxfId="46" dataCellStyle="Input"/>
    <tableColumn id="19" xr3:uid="{863CE0AE-0F5F-4D32-A9DC-1629115B0F70}" name="Discount Type 3" dataDxfId="45" dataCellStyle="Comma"/>
    <tableColumn id="21" xr3:uid="{A9C4A9DC-EFB5-4D09-8ADA-EFC229107602}" name="Discount Amount 3" dataDxfId="44" dataCellStyle="Comma">
      <calculatedColumnFormula>((HearingAids7[[#This Row],[haNetPriceBinural]]-HearingAids7[[#This Row],[chargerPrice]])/2)-HearingAids7[[#This Row],[haNetPriceBinural2]]</calculatedColumnFormula>
    </tableColumn>
    <tableColumn id="22" xr3:uid="{7CBDD182-D316-4241-BE01-D84B5F3CE9AD}" name="haNetPrice2" dataDxfId="43" dataCellStyle="Comma">
      <calculatedColumnFormula>HearingAids7[[#This Row],[haNetPrice]]-HearingAids7[[#This Row],[Discount Amount 3]]</calculatedColumnFormula>
    </tableColumn>
    <tableColumn id="16" xr3:uid="{25381E46-1821-4592-B7AE-7DCCB3D5FF9F}" name="haNetPriceBinural2" dataDxfId="42" dataCellStyle="Comma"/>
    <tableColumn id="10" xr3:uid="{0C52264D-EACD-4040-AD20-A870B977D0E1}" name="paFittingFee" dataDxfId="41" dataCellStyle="Comma"/>
    <tableColumn id="4" xr3:uid="{6B597A7B-6B6C-463B-B14D-B782009871B6}" name="chargerType" dataDxfId="40" dataCellStyle="Comma"/>
    <tableColumn id="5" xr3:uid="{E5E93448-BE27-43BD-8173-C3E29A57EB56}" name="chargerPrice" dataDxfId="39" dataCellStyle="Comma"/>
    <tableColumn id="11" xr3:uid="{F65D1D5F-35EF-4BFA-A7D0-F4C8368206E1}" name="haReceiverType" dataDxfId="38" dataCellStyle="Comma"/>
    <tableColumn id="9" xr3:uid="{E15C872A-F3DF-4E26-9A56-6C33CBF526D3}" name="haReceiverPrice" dataDxfId="37" dataCellStyle="Comma"/>
    <tableColumn id="12" xr3:uid="{2FF24650-9052-4D7C-908B-99CBF45A3D62}" name="haReceiverDiscountDescription" dataDxfId="36" dataCellStyle="Comma"/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234EB53-350B-4CA0-BBF8-223B5DD3393E}" name="Table3" displayName="Table3" ref="A1:I260" totalsRowShown="0" dataDxfId="35">
  <autoFilter ref="A1:I260" xr:uid="{B234EB53-350B-4CA0-BBF8-223B5DD3393E}"/>
  <sortState xmlns:xlrd2="http://schemas.microsoft.com/office/spreadsheetml/2017/richdata2" ref="A2:H286">
    <sortCondition ref="H1:H286"/>
  </sortState>
  <tableColumns count="9">
    <tableColumn id="3" xr3:uid="{01E33E76-D2E8-4BA1-8B76-7728D954699A}" name="barcodeName" dataDxfId="34"/>
    <tableColumn id="4" xr3:uid="{AFD2CC34-308A-452C-88C9-7ABCC4C3CBAE}" name="barcode" dataDxfId="33">
      <calculatedColumnFormula>"("&amp;A2&amp;")"</calculatedColumnFormula>
    </tableColumn>
    <tableColumn id="9" xr3:uid="{B8801611-8566-463A-835D-35713DE2FBEA}" name="receiverType" dataDxfId="32"/>
    <tableColumn id="1" xr3:uid="{AD24FFA9-E8B9-4018-8A06-B4494014DBB8}" name="receiverRightDescription2" dataDxfId="31"/>
    <tableColumn id="2" xr3:uid="{2C8BFB26-ADC9-49BF-859D-B9B1DD563DA3}" name="receiverLeftDescription" dataDxfId="30"/>
    <tableColumn id="8" xr3:uid="{DF46FFD8-CF92-4CF1-A0FF-3A3AA14FB6A7}" name="receiverListAmount" dataDxfId="29"/>
    <tableColumn id="5" xr3:uid="{F789C631-ACE4-4877-A193-CFB176AB4CAA}" name="receiverDiscountAmount" dataDxfId="28"/>
    <tableColumn id="6" xr3:uid="{F07C2478-D3D3-4691-BC4C-7E1A65A10250}" name="receiverDiscountDescription" dataDxfId="27"/>
    <tableColumn id="7" xr3:uid="{F77E97F1-5006-4D72-B46E-440B6D66854F}" name="receiverPrice" dataDxfId="26"/>
  </tableColumns>
  <tableStyleInfo name="TableStyleMedium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F14951C-F3AB-4A56-8D68-8FEECEDF206A}" name="Table2" displayName="Table2" ref="A1:H92" totalsRowShown="0" headerRowDxfId="25" headerRowBorderDxfId="24" tableBorderDxfId="23">
  <autoFilter ref="A1:H92" xr:uid="{DF14951C-F3AB-4A56-8D68-8FEECEDF206A}"/>
  <sortState xmlns:xlrd2="http://schemas.microsoft.com/office/spreadsheetml/2017/richdata2" ref="A2:H74">
    <sortCondition ref="H1:H74"/>
  </sortState>
  <tableColumns count="8">
    <tableColumn id="1" xr3:uid="{FDC3E4DD-A231-46DD-8097-7C0DC18260BD}" name="barcodeName"/>
    <tableColumn id="2" xr3:uid="{AFC95F79-8083-447B-A914-1EBAAA27B722}" name="barcode" dataDxfId="22">
      <calculatedColumnFormula>"("&amp;A2&amp;")"</calculatedColumnFormula>
    </tableColumn>
    <tableColumn id="3" xr3:uid="{D0382781-2AC8-4DE6-BF59-9B38B78B1184}" name="remoteModel"/>
    <tableColumn id="4" xr3:uid="{9B080694-7BEA-4586-AA70-DDEC1D67D699}" name="remoteType"/>
    <tableColumn id="7" xr3:uid="{CCB41D66-8697-4FAF-A74F-5F54F6CCA4F8}" name="remoteListAmount"/>
    <tableColumn id="5" xr3:uid="{1CE35D6A-9428-4732-9735-D4D6A26B1AB4}" name="remoteDiscountAmount" dataDxfId="21"/>
    <tableColumn id="8" xr3:uid="{D7583571-F6BF-4E66-B4FE-1F6C0658D1E4}" name="remoteAmount" dataDxfId="20">
      <calculatedColumnFormula>Table2[[#This Row],[remoteListAmount]]-Table2[[#This Row],[remoteDiscountAmount]]</calculatedColumnFormula>
    </tableColumn>
    <tableColumn id="6" xr3:uid="{435AFC97-0382-475D-9332-93EDAB756C8B}" name="remoteDiscountDescription"/>
  </tableColumns>
  <tableStyleInfo name="TableStyleMedium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E35851D-E21C-4957-852B-C619133CF977}" name="Table4" displayName="Table4" ref="A1:H3" totalsRowShown="0" headerRowDxfId="19" dataDxfId="17" headerRowBorderDxfId="18" tableBorderDxfId="16">
  <autoFilter ref="A1:H3" xr:uid="{9E35851D-E21C-4957-852B-C619133CF977}"/>
  <tableColumns count="8">
    <tableColumn id="1" xr3:uid="{9C5C5DE5-EA97-4EF1-8892-EBFCAC4443EA}" name="barcodeName" dataDxfId="15"/>
    <tableColumn id="2" xr3:uid="{3987A654-3331-4022-95F5-BEF488FDFD5D}" name="barcode" dataDxfId="14">
      <calculatedColumnFormula>"("&amp;A2&amp;")"</calculatedColumnFormula>
    </tableColumn>
    <tableColumn id="3" xr3:uid="{B575D7DB-8A17-44F2-812F-84D8DF10D3DD}" name="serviceDescription" dataDxfId="13"/>
    <tableColumn id="4" xr3:uid="{1E8BF5D4-6F7F-4C9F-B1C6-A5382AB6523A}" name="serviceDiscountDescription" dataDxfId="12"/>
    <tableColumn id="7" xr3:uid="{A104B7ED-7164-4645-80F4-4FB3B815FA1C}" name="serviceListAmount" dataDxfId="11" dataCellStyle="Comma"/>
    <tableColumn id="5" xr3:uid="{FA21F863-CA81-4450-AB48-77E6CBCB2D99}" name="serviceDiscountAmount" dataDxfId="10" dataCellStyle="Comma"/>
    <tableColumn id="8" xr3:uid="{0C0AAA86-C611-4A7B-8F6A-7547563ECBBB}" name="serviceAmount" dataDxfId="9" dataCellStyle="Comma"/>
    <tableColumn id="6" xr3:uid="{BA455156-79BF-4EC7-BA14-3484B2B4810B}" name="paFittingFee" dataDxfId="8"/>
  </tableColumns>
  <tableStyleInfo name="TableStyleMedium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6EED7A3-D2B4-46BC-8F41-FB11FC20F42F}" name="Table5" displayName="Table5" ref="A1:G3" totalsRowShown="0" dataDxfId="7">
  <autoFilter ref="A1:G3" xr:uid="{06EED7A3-D2B4-46BC-8F41-FB11FC20F42F}"/>
  <tableColumns count="7">
    <tableColumn id="1" xr3:uid="{EA5C7967-7D68-4146-84DE-1135A119CC3D}" name="barcodeName" dataDxfId="6"/>
    <tableColumn id="2" xr3:uid="{C49A42F5-93EA-4670-959A-42455600C7C8}" name="barcode" dataDxfId="5">
      <calculatedColumnFormula>"("&amp;A2&amp;")"</calculatedColumnFormula>
    </tableColumn>
    <tableColumn id="3" xr3:uid="{2609A236-2D4A-49A0-BD07-CC9B0426F536}" name="accessoryDescription" dataDxfId="4"/>
    <tableColumn id="4" xr3:uid="{9F5155AE-6C5F-4BA4-AD9F-DAE0C8053CCF}" name="accessoryDiscountDescription" dataDxfId="3"/>
    <tableColumn id="6" xr3:uid="{CE967C46-B3C7-4797-BD2D-C5D197F6260B}" name="accessoryListAmount" dataDxfId="2" dataCellStyle="Comma"/>
    <tableColumn id="5" xr3:uid="{CAA4A522-ACE9-4EE8-A795-EFB2F9D3E99B}" name="accessoryDiscountAmount" dataDxfId="1" dataCellStyle="Comma"/>
    <tableColumn id="7" xr3:uid="{C6197BEF-5482-4860-814F-46EEEB1E034B}" name="accessoryAmount" dataDxfId="0" dataCellStyle="Comma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B380E-1396-4B6E-A468-8A3D9AA81345}">
  <dimension ref="A2:I36"/>
  <sheetViews>
    <sheetView topLeftCell="A20" workbookViewId="0">
      <selection activeCell="B7" sqref="B7:C7"/>
    </sheetView>
  </sheetViews>
  <sheetFormatPr defaultColWidth="9.140625" defaultRowHeight="12.75"/>
  <cols>
    <col min="1" max="1" width="36.140625" style="27" customWidth="1"/>
    <col min="2" max="2" width="16.5703125" style="27" customWidth="1"/>
    <col min="3" max="3" width="22" style="27" customWidth="1"/>
    <col min="4" max="5" width="19.28515625" style="27" customWidth="1"/>
    <col min="6" max="6" width="38.28515625" style="27" bestFit="1" customWidth="1"/>
    <col min="7" max="7" width="18.140625" style="27" customWidth="1"/>
    <col min="8" max="16384" width="9.140625" style="27"/>
  </cols>
  <sheetData>
    <row r="2" spans="1:8" ht="13.5" thickBot="1">
      <c r="A2" s="41"/>
      <c r="B2" s="41"/>
      <c r="C2" s="41"/>
      <c r="D2" s="41"/>
      <c r="E2" s="41"/>
      <c r="F2" s="41"/>
      <c r="G2" s="41"/>
      <c r="H2" s="41"/>
    </row>
    <row r="3" spans="1:8" ht="13.5" thickBot="1">
      <c r="A3" s="54" t="s">
        <v>0</v>
      </c>
      <c r="B3" s="101" t="s">
        <v>1</v>
      </c>
      <c r="C3" s="102"/>
      <c r="D3" s="41"/>
      <c r="E3" s="41"/>
      <c r="F3" s="41"/>
      <c r="G3" s="41"/>
      <c r="H3" s="41"/>
    </row>
    <row r="4" spans="1:8" ht="13.5" thickBot="1">
      <c r="A4" s="54"/>
      <c r="B4" s="41"/>
      <c r="C4" s="41"/>
      <c r="D4" s="41"/>
      <c r="E4" s="41"/>
      <c r="F4" s="41"/>
      <c r="G4" s="41"/>
      <c r="H4" s="41"/>
    </row>
    <row r="5" spans="1:8" ht="13.5" thickBot="1">
      <c r="A5" s="54" t="s">
        <v>2</v>
      </c>
      <c r="B5" s="101">
        <v>2</v>
      </c>
      <c r="C5" s="102"/>
      <c r="D5" s="41"/>
      <c r="E5" s="41"/>
      <c r="F5" s="41"/>
      <c r="G5" s="41"/>
      <c r="H5" s="41"/>
    </row>
    <row r="6" spans="1:8" ht="13.5" thickBot="1">
      <c r="A6" s="54"/>
      <c r="B6" s="41"/>
      <c r="C6" s="41"/>
      <c r="D6" s="41"/>
      <c r="E6" s="41"/>
      <c r="F6" s="41"/>
      <c r="G6" s="28"/>
      <c r="H6" s="29"/>
    </row>
    <row r="7" spans="1:8" ht="13.5" thickBot="1">
      <c r="A7" s="54" t="s">
        <v>3</v>
      </c>
      <c r="B7" s="101" t="s">
        <v>4</v>
      </c>
      <c r="C7" s="102"/>
      <c r="D7" s="41"/>
      <c r="E7" s="41"/>
      <c r="F7" s="41"/>
      <c r="G7" s="41"/>
      <c r="H7" s="41"/>
    </row>
    <row r="8" spans="1:8">
      <c r="A8" s="54"/>
      <c r="B8" s="41"/>
      <c r="C8" s="41"/>
      <c r="D8" s="41"/>
      <c r="E8" s="41"/>
      <c r="F8" s="41"/>
      <c r="G8" s="41"/>
      <c r="H8" s="41"/>
    </row>
    <row r="10" spans="1:8">
      <c r="A10" s="55" t="s">
        <v>5</v>
      </c>
      <c r="B10" s="56"/>
      <c r="C10" s="56"/>
      <c r="D10" s="56"/>
      <c r="E10" s="56"/>
      <c r="F10" s="56"/>
      <c r="G10" s="55"/>
      <c r="H10" s="41"/>
    </row>
    <row r="11" spans="1:8" ht="13.5" thickBot="1">
      <c r="A11" s="56"/>
      <c r="B11" s="56"/>
      <c r="C11" s="56"/>
      <c r="D11" s="56"/>
      <c r="E11" s="56"/>
      <c r="F11" s="56"/>
      <c r="G11" s="55"/>
      <c r="H11" s="41"/>
    </row>
    <row r="12" spans="1:8">
      <c r="A12" s="30" t="s">
        <v>6</v>
      </c>
      <c r="B12" s="31" t="s">
        <v>7</v>
      </c>
      <c r="C12" s="30" t="s">
        <v>8</v>
      </c>
      <c r="D12" s="31" t="s">
        <v>7</v>
      </c>
      <c r="E12" s="41"/>
      <c r="F12" s="32"/>
      <c r="G12" s="41"/>
      <c r="H12" s="41"/>
    </row>
    <row r="13" spans="1:8" ht="18" customHeight="1">
      <c r="A13" s="33" t="s">
        <v>9</v>
      </c>
      <c r="B13" s="57" cm="1">
        <f t="array" ref="B13">IF($B$3="","",_xlfn.XLOOKUP($B$3&amp;$B$7,haList!A:A&amp;haList!I:I,haList!D:D))</f>
        <v>5579</v>
      </c>
      <c r="C13" s="33" t="s">
        <v>9</v>
      </c>
      <c r="D13" s="58" cm="1">
        <f t="array" ref="D13">IF($B$5=1,"",_xlfn.XLOOKUP($B$3&amp;$B$7,haList!A:A&amp;haList!I:I,haList!D:D))</f>
        <v>5579</v>
      </c>
      <c r="E13" s="41"/>
      <c r="F13" s="59"/>
      <c r="G13" s="41"/>
      <c r="H13" s="41"/>
    </row>
    <row r="14" spans="1:8" ht="18" customHeight="1">
      <c r="A14" s="33" t="s">
        <v>10</v>
      </c>
      <c r="B14" s="60" cm="1">
        <f t="array" ref="B14">_xlfn.XLOOKUP($B$3,haList!$A:$A,-haList!$F:$F)</f>
        <v>162.5</v>
      </c>
      <c r="C14" s="33" t="s">
        <v>10</v>
      </c>
      <c r="D14" s="60" cm="1">
        <f t="array" ref="D14">IF(B5=1,"",_xlfn.XLOOKUP($B$3,haList!$A:$A,-haList!$F:$F))</f>
        <v>162.5</v>
      </c>
      <c r="E14" s="59"/>
      <c r="F14" s="59"/>
      <c r="G14" s="41"/>
      <c r="H14" s="41"/>
    </row>
    <row r="15" spans="1:8" ht="18" customHeight="1">
      <c r="A15" s="33" t="s">
        <v>11</v>
      </c>
      <c r="B15" s="57">
        <f>B13+B14</f>
        <v>5741.5</v>
      </c>
      <c r="C15" s="33" t="s">
        <v>11</v>
      </c>
      <c r="D15" s="61">
        <f>IF(B5=1,"",D13+D14)</f>
        <v>5741.5</v>
      </c>
      <c r="E15" s="59"/>
      <c r="F15" s="59"/>
      <c r="G15" s="41"/>
      <c r="H15" s="41"/>
    </row>
    <row r="16" spans="1:8" ht="18" customHeight="1">
      <c r="A16" s="33" t="s">
        <v>12</v>
      </c>
      <c r="B16" s="57" cm="1">
        <f t="array" ref="B16">_xlfn.XLOOKUP($B$3&amp;$B$7,haList!$A:$A&amp;haList!$I:$I,-haList!$J:$J)</f>
        <v>-3405</v>
      </c>
      <c r="C16" s="33" t="s">
        <v>12</v>
      </c>
      <c r="D16" s="57" cm="1">
        <f t="array" ref="D16">IF(B5=1,"",_xlfn.XLOOKUP($B$3&amp;$B$7,haList!$A:$A&amp;haList!$I:$I,-haList!$J:$J))</f>
        <v>-3405</v>
      </c>
      <c r="E16" s="59"/>
      <c r="F16" s="59"/>
      <c r="G16" s="41"/>
      <c r="H16" s="41"/>
    </row>
    <row r="17" spans="1:9" ht="18" customHeight="1">
      <c r="A17" s="33" t="s">
        <v>13</v>
      </c>
      <c r="B17" s="57">
        <f>B15+B16</f>
        <v>2336.5</v>
      </c>
      <c r="C17" s="33" t="s">
        <v>13</v>
      </c>
      <c r="D17" s="61">
        <f>IF(B5=1,"",D15+D16)</f>
        <v>2336.5</v>
      </c>
      <c r="E17" s="59"/>
      <c r="F17" s="59"/>
      <c r="G17" s="41"/>
      <c r="H17" s="41"/>
      <c r="I17" s="41"/>
    </row>
    <row r="18" spans="1:9" ht="18" customHeight="1">
      <c r="A18" s="33" t="s">
        <v>14</v>
      </c>
      <c r="B18" s="57" cm="1">
        <f t="array" ref="B18">IF($B$7="Open House Special",_xlfn.XLOOKUP($B$3&amp;"Marketing Offer",haList!$A:$A&amp;haList!$M:$M,-haList!$N:$N),0)</f>
        <v>0</v>
      </c>
      <c r="C18" s="33" t="s">
        <v>14</v>
      </c>
      <c r="D18" s="57" cm="1">
        <f t="array" ref="D18">IF(B5=1,"",IF($B$7="Open House Special",_xlfn.XLOOKUP($B$3&amp;"Marketing Offer",haList!$A:$A&amp;haList!$M:$M,-haList!$N:$N),0))</f>
        <v>0</v>
      </c>
      <c r="E18" s="59"/>
      <c r="F18" s="59"/>
      <c r="G18" s="41"/>
      <c r="H18" s="41"/>
      <c r="I18" s="41"/>
    </row>
    <row r="19" spans="1:9" ht="18" customHeight="1" thickBot="1">
      <c r="A19" s="34" t="s">
        <v>15</v>
      </c>
      <c r="B19" s="62">
        <f>B17+B18</f>
        <v>2336.5</v>
      </c>
      <c r="C19" s="34" t="s">
        <v>15</v>
      </c>
      <c r="D19" s="63">
        <f>IF(B5=1,"",D17+D18)</f>
        <v>2336.5</v>
      </c>
      <c r="E19" s="59"/>
      <c r="F19" s="59"/>
      <c r="G19" s="41"/>
      <c r="H19" s="41"/>
      <c r="I19" s="41"/>
    </row>
    <row r="20" spans="1:9" ht="18" customHeight="1">
      <c r="A20" s="41"/>
      <c r="B20" s="41"/>
      <c r="C20" s="41"/>
      <c r="D20" s="64"/>
      <c r="E20" s="59"/>
      <c r="F20" s="59"/>
      <c r="G20" s="41"/>
      <c r="H20" s="41"/>
      <c r="I20" s="41"/>
    </row>
    <row r="21" spans="1:9" ht="18" customHeight="1">
      <c r="A21" s="41"/>
      <c r="B21" s="41"/>
      <c r="C21" s="41"/>
      <c r="D21" s="64"/>
      <c r="E21" s="59"/>
      <c r="F21" s="59"/>
      <c r="G21" s="41"/>
      <c r="H21" s="41"/>
      <c r="I21" s="41"/>
    </row>
    <row r="22" spans="1:9" ht="18" customHeight="1">
      <c r="A22" s="41"/>
      <c r="B22" s="54" t="s">
        <v>16</v>
      </c>
      <c r="C22" s="42">
        <f>B19</f>
        <v>2336.5</v>
      </c>
      <c r="D22" s="64"/>
      <c r="E22" s="59"/>
      <c r="F22" s="59"/>
      <c r="G22" s="41"/>
      <c r="H22" s="41"/>
      <c r="I22" s="41"/>
    </row>
    <row r="23" spans="1:9" ht="18" customHeight="1">
      <c r="A23" s="41"/>
      <c r="B23" s="54" t="str">
        <f>IF($B$5=1,"",B22)</f>
        <v>Hearing Aid 1</v>
      </c>
      <c r="C23" s="65">
        <f>IF(B5=2,D19,0)</f>
        <v>2336.5</v>
      </c>
      <c r="D23" s="64"/>
      <c r="E23" s="59"/>
      <c r="F23" s="59"/>
      <c r="G23" s="41"/>
      <c r="H23" s="41"/>
      <c r="I23" s="41"/>
    </row>
    <row r="24" spans="1:9" ht="18" customHeight="1">
      <c r="A24" s="41"/>
      <c r="B24" s="54" t="str" cm="1">
        <f t="array" ref="B24">IF($B$3="","",_xlfn.XLOOKUP($B$3&amp;$B$7,haList!$A:$A&amp;haList!$I:$I,haList!$R:$R))</f>
        <v>Standard Charger</v>
      </c>
      <c r="C24" s="59" cm="1">
        <f t="array" ref="C24">IF($B$24="","",_xlfn.XLOOKUP($B$3&amp;$B$7,haList!$A:$A&amp;haList!$I:$I,haList!$S:$S))</f>
        <v>325</v>
      </c>
      <c r="D24" s="41"/>
      <c r="E24" s="59"/>
      <c r="F24" s="59"/>
      <c r="G24" s="41"/>
      <c r="H24" s="41"/>
      <c r="I24" s="42"/>
    </row>
    <row r="25" spans="1:9" ht="18" customHeight="1">
      <c r="A25" s="41"/>
      <c r="B25" s="54" t="str" cm="1">
        <f t="array" ref="B25">IF($B$3="","",_xlfn.XLOOKUP($B$3&amp;$B$7,haList!$A:$A&amp;haList!$I:$I,haList!$T:$T))</f>
        <v>SureFit3 or M@RIE Receiver</v>
      </c>
      <c r="C25" s="59" cm="1">
        <f t="array" ref="C25">IF($B$24="","",_xlfn.XLOOKUP($B$3&amp;$B$7,haList!$A:$A&amp;haList!$I:$I,haList!$U:$U))</f>
        <v>0</v>
      </c>
      <c r="D25" s="66"/>
      <c r="E25" s="41"/>
      <c r="F25" s="59"/>
      <c r="G25" s="41"/>
      <c r="H25" s="41"/>
      <c r="I25" s="42"/>
    </row>
    <row r="26" spans="1:9" ht="18" customHeight="1">
      <c r="A26" s="41"/>
      <c r="B26" s="54" t="str">
        <f>IF($B$5=1,"",B25)</f>
        <v>SureFit3 or M@RIE Receiver</v>
      </c>
      <c r="C26" s="59">
        <f>IF(B5=2,C25,0)</f>
        <v>0</v>
      </c>
      <c r="D26" s="66"/>
      <c r="E26" s="41"/>
      <c r="F26" s="59"/>
      <c r="G26" s="41"/>
      <c r="H26" s="41"/>
      <c r="I26" s="41"/>
    </row>
    <row r="27" spans="1:9" ht="18" customHeight="1">
      <c r="A27" s="41"/>
      <c r="B27" s="54" t="s">
        <v>17</v>
      </c>
      <c r="C27" s="42">
        <f>C22+C23+C24+C25+C26</f>
        <v>4998</v>
      </c>
      <c r="D27" s="54"/>
      <c r="E27" s="54"/>
      <c r="F27" s="59"/>
      <c r="G27" s="41"/>
      <c r="H27" s="41"/>
      <c r="I27" s="41"/>
    </row>
    <row r="28" spans="1:9" ht="18" customHeight="1">
      <c r="A28" s="41"/>
      <c r="B28" s="54" t="str" cm="1">
        <f t="array" ref="B28">IF($B$3="","",IF(_xlfn.XLOOKUP($B$3&amp;$B$7,haList!$A:$A&amp;haList!$I:$I,haList!$Q:$Q)=1,"PA Fitting Fee","(do not charge a PA Fitting Fee)"))</f>
        <v>PA Fitting Fee</v>
      </c>
      <c r="C28" s="67" cm="1">
        <f t="array" ref="C28">IF($B$3="","",IF(_xlfn.XLOOKUP($B$3&amp;$B$7,haList!$A:$A&amp;haList!$I:$I,haList!$Q:$Q)=1,400,""))</f>
        <v>400</v>
      </c>
      <c r="D28" s="54"/>
      <c r="E28" s="54"/>
      <c r="F28" s="41"/>
      <c r="G28" s="41" t="str">
        <f>IF(B7="Anthem BCBS","&lt;---Needs to be on a separate invoice.  Private Pay only!","")</f>
        <v/>
      </c>
      <c r="H28" s="41"/>
      <c r="I28" s="41"/>
    </row>
    <row r="29" spans="1:9" ht="18" customHeight="1">
      <c r="A29" s="41"/>
      <c r="B29" s="35" t="s">
        <v>18</v>
      </c>
      <c r="C29" s="36">
        <f>C27+C28</f>
        <v>5398</v>
      </c>
      <c r="D29" s="35"/>
      <c r="E29" s="35"/>
      <c r="F29" s="25"/>
      <c r="G29" s="41"/>
      <c r="H29" s="59"/>
      <c r="I29" s="41"/>
    </row>
    <row r="30" spans="1:9" ht="18" customHeight="1">
      <c r="A30" s="100"/>
      <c r="B30" s="100"/>
      <c r="C30" s="100"/>
      <c r="D30" s="35"/>
      <c r="E30" s="35"/>
      <c r="F30" s="25"/>
      <c r="G30" s="41"/>
      <c r="H30" s="41"/>
      <c r="I30" s="41"/>
    </row>
    <row r="31" spans="1:9" ht="18" customHeight="1">
      <c r="A31" s="41"/>
      <c r="B31" s="41"/>
      <c r="C31" s="41"/>
      <c r="D31" s="41"/>
      <c r="E31" s="41"/>
      <c r="F31" s="41"/>
      <c r="G31" s="41"/>
      <c r="H31" s="41"/>
      <c r="I31" s="41"/>
    </row>
    <row r="32" spans="1:9" ht="18" customHeight="1" thickBot="1">
      <c r="A32" s="29"/>
      <c r="B32" s="37" t="s">
        <v>19</v>
      </c>
      <c r="C32" s="41"/>
      <c r="D32" s="41"/>
      <c r="E32" s="41"/>
      <c r="F32" s="41"/>
      <c r="G32" s="41"/>
      <c r="H32" s="41"/>
      <c r="I32" s="41"/>
    </row>
    <row r="33" spans="1:6" ht="18" customHeight="1" thickBot="1">
      <c r="A33" s="68"/>
      <c r="B33" s="69" t="s">
        <v>20</v>
      </c>
      <c r="C33" s="59">
        <f>C29</f>
        <v>5398</v>
      </c>
      <c r="D33" s="41"/>
      <c r="E33" s="41"/>
      <c r="F33" s="41"/>
    </row>
    <row r="34" spans="1:6" ht="18" customHeight="1" thickBot="1">
      <c r="A34" s="35"/>
      <c r="B34" s="54" t="str">
        <f>IF($B$33='Data Lists'!C3,"Down Payment Type is Needed",IF($B$33='Data Lists'!C4,"20% down payment needed",IF($B$33='Data Lists'!C5,"20% down payment needed",IF($B$33='Data Lists'!C6,"$800 down payment needed",IF(AND($B$33='Data Lists'!C7,F29&gt;5555),"Down Payment Needed",IF(AND($B$33='Data Lists'!C7,F29&lt;5555),"10% Down Payment Needed"))))))</f>
        <v>10% Down Payment Needed</v>
      </c>
      <c r="C34" s="59">
        <f>IF(B33='Data Lists'!C3,0,
IF(B33='Data Lists'!C4,'Price Calculator'!C33*20%,
IF(B33='Data Lists'!C5,'Price Calculator'!C33*20%,
IF('Price Calculator'!B33='Data Lists'!C6,800,
IF(AND('Price Calculator'!B33='Data Lists'!C7,C33&lt;5555),C33*10%,
IF(AND('Price Calculator'!B33='Data Lists'!C7,C33&gt;5555),C33-5000,""))))))</f>
        <v>539.80000000000007</v>
      </c>
      <c r="D34" s="59"/>
      <c r="E34" s="41"/>
      <c r="F34" s="59"/>
    </row>
    <row r="35" spans="1:6" ht="18" customHeight="1" thickBot="1">
      <c r="A35" s="54"/>
      <c r="B35" s="54" t="str">
        <f>IF($B$33='Data Lists'!C3,"Down Payment Type is Needed",IF($B$33='Data Lists'!C4,"Balance due from Patient at delivery",IF(OR($B$33='Data Lists'!C5,$B$33='Data Lists'!C6,$B$33='Data Lists'!C7),"Balance due from AllWell at delivery")))</f>
        <v>Balance due from AllWell at delivery</v>
      </c>
      <c r="C35" s="26">
        <f>C33-C34</f>
        <v>4858.2</v>
      </c>
      <c r="D35" s="41"/>
      <c r="E35" s="41"/>
      <c r="F35" s="41"/>
    </row>
    <row r="36" spans="1:6" ht="18" customHeight="1">
      <c r="A36" s="41"/>
      <c r="B36" s="41"/>
      <c r="C36" s="41"/>
      <c r="D36" s="41"/>
      <c r="E36" s="41"/>
      <c r="F36" s="41"/>
    </row>
  </sheetData>
  <sheetProtection selectLockedCells="1"/>
  <mergeCells count="4">
    <mergeCell ref="A30:C30"/>
    <mergeCell ref="B3:C3"/>
    <mergeCell ref="B7:C7"/>
    <mergeCell ref="B5:C5"/>
  </mergeCells>
  <dataValidations count="1">
    <dataValidation type="list" allowBlank="1" showInputMessage="1" showErrorMessage="1" sqref="B5" xr:uid="{E095DD5D-12CC-4B09-A756-0B16300F1945}">
      <formula1>"1,2"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4C76E63-4EEC-41DA-9038-E08065BEB34D}">
          <x14:formula1>
            <xm:f>_xlfn.ANCHORARRAY('Data Lists'!$A$3)</xm:f>
          </x14:formula1>
          <xm:sqref>B3:C3</xm:sqref>
        </x14:dataValidation>
        <x14:dataValidation type="list" allowBlank="1" showInputMessage="1" showErrorMessage="1" xr:uid="{CCA9C399-DE26-48EF-87C9-B72D3AB11862}">
          <x14:formula1>
            <xm:f>_xlfn.ANCHORARRAY('Data Lists'!$B$3)</xm:f>
          </x14:formula1>
          <xm:sqref>B7</xm:sqref>
        </x14:dataValidation>
        <x14:dataValidation type="list" allowBlank="1" showInputMessage="1" showErrorMessage="1" xr:uid="{BBEF5F1C-4660-4B18-A5D8-907A959AF4C5}">
          <x14:formula1>
            <xm:f>'Data Lists'!$C$3:$C$7</xm:f>
          </x14:formula1>
          <xm:sqref>A33:B33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8E355-D10F-45CB-8710-0B743D2C5CA5}">
  <dimension ref="A1:AF93"/>
  <sheetViews>
    <sheetView tabSelected="1" zoomScaleNormal="100" workbookViewId="0">
      <pane xSplit="1" ySplit="1" topLeftCell="D2" activePane="bottomRight" state="frozen"/>
      <selection pane="topRight" activeCell="B1" sqref="B1"/>
      <selection pane="bottomLeft" activeCell="A2" sqref="A2"/>
      <selection pane="bottomRight" activeCell="E98" sqref="E98"/>
    </sheetView>
  </sheetViews>
  <sheetFormatPr defaultColWidth="9.140625" defaultRowHeight="12"/>
  <cols>
    <col min="1" max="1" width="53.85546875" customWidth="1"/>
    <col min="2" max="2" width="50" customWidth="1"/>
    <col min="3" max="3" width="28.5703125" customWidth="1"/>
    <col min="4" max="4" width="12.85546875" customWidth="1"/>
    <col min="5" max="5" width="20.140625" customWidth="1"/>
    <col min="6" max="6" width="23" customWidth="1"/>
    <col min="7" max="7" width="16" customWidth="1"/>
    <col min="8" max="8" width="20.28515625" customWidth="1"/>
    <col min="9" max="9" width="25.7109375" customWidth="1"/>
    <col min="10" max="10" width="23.42578125" bestFit="1" customWidth="1"/>
    <col min="11" max="11" width="15.5703125" bestFit="1" customWidth="1"/>
    <col min="12" max="12" width="22.85546875" bestFit="1" customWidth="1"/>
    <col min="13" max="15" width="24.140625" customWidth="1"/>
    <col min="16" max="16" width="23.7109375" bestFit="1" customWidth="1"/>
    <col min="17" max="17" width="17" style="2" bestFit="1" customWidth="1"/>
    <col min="18" max="18" width="17" style="39" bestFit="1" customWidth="1"/>
    <col min="19" max="19" width="18.140625" bestFit="1" customWidth="1"/>
    <col min="20" max="21" width="26" bestFit="1" customWidth="1"/>
    <col min="22" max="22" width="22.7109375" style="6" bestFit="1" customWidth="1"/>
    <col min="23" max="23" width="38" bestFit="1" customWidth="1"/>
    <col min="24" max="24" width="20.140625" customWidth="1"/>
    <col min="25" max="25" width="16.85546875" customWidth="1"/>
    <col min="26" max="26" width="10.140625" bestFit="1" customWidth="1"/>
    <col min="27" max="27" width="9.85546875" bestFit="1" customWidth="1"/>
    <col min="28" max="29" width="9.85546875" style="15" bestFit="1" customWidth="1"/>
    <col min="30" max="31" width="9.85546875" style="4" bestFit="1" customWidth="1"/>
    <col min="32" max="33" width="9.85546875" bestFit="1" customWidth="1"/>
  </cols>
  <sheetData>
    <row r="1" spans="1:31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8" t="s">
        <v>37</v>
      </c>
      <c r="R1" s="38" t="s">
        <v>38</v>
      </c>
      <c r="S1" s="1" t="s">
        <v>39</v>
      </c>
      <c r="T1" s="1" t="s">
        <v>40</v>
      </c>
      <c r="U1" s="3" t="s">
        <v>41</v>
      </c>
      <c r="V1" s="48" t="s">
        <v>42</v>
      </c>
      <c r="Y1" s="15"/>
      <c r="Z1" s="15"/>
      <c r="AA1" s="15"/>
      <c r="AB1"/>
      <c r="AC1"/>
      <c r="AD1"/>
      <c r="AE1"/>
    </row>
    <row r="2" spans="1:31" ht="15">
      <c r="A2" s="41" t="s">
        <v>66</v>
      </c>
      <c r="B2" s="41" t="s">
        <v>67</v>
      </c>
      <c r="C2" s="42">
        <f>(HearingAids7[[#This Row],[haMSRP]]*2)+HearingAids7[[#This Row],[chargerPrice]]</f>
        <v>12103</v>
      </c>
      <c r="D2" s="97">
        <v>5939</v>
      </c>
      <c r="E2" s="44" t="s">
        <v>10</v>
      </c>
      <c r="F2" s="43">
        <f>HearingAids7[[#This Row],[haMSRP]]-((HearingAids7[[#This Row],[ListPriceBinural]]-HearingAids7[[#This Row],[chargerPrice]])/2)</f>
        <v>1226.5</v>
      </c>
      <c r="G2" s="43">
        <f>HearingAids7[[#This Row],[haMSRP]]-HearingAids7[[#This Row],[Discount Amount 1]]</f>
        <v>4712.5</v>
      </c>
      <c r="H2" s="97">
        <v>9650</v>
      </c>
      <c r="I2" s="75" t="s">
        <v>80</v>
      </c>
      <c r="J2" s="44">
        <f>(HearingAids7[[#This Row],[haMSRP]]-HearingAids7[[#This Row],[Discount Amount 1]])-(HearingAids7[[#This Row],[haNetPriceBinural]]-HearingAids7[[#This Row],[chargerPrice]])/2</f>
        <v>500</v>
      </c>
      <c r="K2" s="44">
        <f>HearingAids7[[#This Row],[HAListPrice]]-HearingAids7[[#This Row],[Discount Amount 2]]</f>
        <v>4212.5</v>
      </c>
      <c r="L2" s="97">
        <v>8650</v>
      </c>
      <c r="M2" s="44"/>
      <c r="N2" s="44"/>
      <c r="O2" s="44"/>
      <c r="P2" s="44"/>
      <c r="Q2" s="45">
        <v>1</v>
      </c>
      <c r="R2" s="70" t="s">
        <v>49</v>
      </c>
      <c r="S2" s="71">
        <v>225</v>
      </c>
      <c r="T2" s="47" t="s">
        <v>55</v>
      </c>
      <c r="U2" s="47">
        <v>0</v>
      </c>
      <c r="V2" s="47" t="s">
        <v>56</v>
      </c>
      <c r="Y2" s="15"/>
      <c r="Z2" s="15"/>
      <c r="AA2" s="15"/>
      <c r="AB2"/>
      <c r="AC2"/>
      <c r="AD2"/>
      <c r="AE2"/>
    </row>
    <row r="3" spans="1:31" ht="15">
      <c r="A3" s="41" t="s">
        <v>66</v>
      </c>
      <c r="B3" s="41" t="s">
        <v>67</v>
      </c>
      <c r="C3" s="42">
        <f>(HearingAids7[[#This Row],[haMSRP]]*2)+HearingAids7[[#This Row],[chargerPrice]]</f>
        <v>12103</v>
      </c>
      <c r="D3" s="97">
        <v>5939</v>
      </c>
      <c r="E3" s="44" t="s">
        <v>10</v>
      </c>
      <c r="F3" s="43">
        <f>HearingAids7[[#This Row],[haMSRP]]-((HearingAids7[[#This Row],[ListPriceBinural]]-HearingAids7[[#This Row],[chargerPrice]])/2)</f>
        <v>1226.5</v>
      </c>
      <c r="G3" s="43">
        <f>HearingAids7[[#This Row],[haMSRP]]-HearingAids7[[#This Row],[Discount Amount 1]]</f>
        <v>4712.5</v>
      </c>
      <c r="H3" s="97">
        <v>9650</v>
      </c>
      <c r="I3" s="75" t="s">
        <v>83</v>
      </c>
      <c r="J3" s="44">
        <f>((HearingAids7[[#This Row],[haMSRP]]-HearingAids7[[#This Row],[Discount Amount 1]])-(HearingAids7[[#This Row],[haNetPriceBinural]]-HearingAids7[[#This Row],[chargerPrice]])/2)</f>
        <v>1025</v>
      </c>
      <c r="K3" s="44">
        <f>HearingAids7[[#This Row],[HAListPrice]]-HearingAids7[[#This Row],[Discount Amount 2]]</f>
        <v>3687.5</v>
      </c>
      <c r="L3" s="97">
        <v>7600</v>
      </c>
      <c r="M3" s="75"/>
      <c r="N3" s="44"/>
      <c r="O3" s="75"/>
      <c r="P3" s="44"/>
      <c r="Q3" s="45">
        <v>1</v>
      </c>
      <c r="R3" s="70" t="s">
        <v>49</v>
      </c>
      <c r="S3" s="71">
        <v>225</v>
      </c>
      <c r="T3" s="47" t="s">
        <v>55</v>
      </c>
      <c r="U3" s="47">
        <v>0</v>
      </c>
      <c r="V3" s="47" t="s">
        <v>56</v>
      </c>
      <c r="Y3" s="15"/>
      <c r="Z3" s="15"/>
      <c r="AA3" s="15"/>
      <c r="AB3"/>
      <c r="AC3"/>
      <c r="AD3"/>
      <c r="AE3"/>
    </row>
    <row r="4" spans="1:31" ht="15">
      <c r="A4" s="41" t="s">
        <v>62</v>
      </c>
      <c r="B4" s="41" t="s">
        <v>63</v>
      </c>
      <c r="C4" s="42">
        <f>(HearingAids7[[#This Row],[haMSRP]]*2)+HearingAids7[[#This Row],[chargerPrice]]</f>
        <v>6523</v>
      </c>
      <c r="D4" s="97">
        <v>3149</v>
      </c>
      <c r="E4" s="44" t="s">
        <v>10</v>
      </c>
      <c r="F4" s="43">
        <f>HearingAids7[[#This Row],[haMSRP]]-((HearingAids7[[#This Row],[ListPriceBinural]]-HearingAids7[[#This Row],[chargerPrice]])/2)</f>
        <v>586.5</v>
      </c>
      <c r="G4" s="43">
        <f>HearingAids7[[#This Row],[haMSRP]]-HearingAids7[[#This Row],[Discount Amount 1]]</f>
        <v>2562.5</v>
      </c>
      <c r="H4" s="97">
        <v>5350</v>
      </c>
      <c r="I4" s="75" t="s">
        <v>45</v>
      </c>
      <c r="J4" s="44">
        <f>(HearingAids7[[#This Row],[haMSRP]]-HearingAids7[[#This Row],[Discount Amount 1]])-(HearingAids7[[#This Row],[haNetPriceBinural]]-HearingAids7[[#This Row],[chargerPrice]])/2</f>
        <v>0</v>
      </c>
      <c r="K4" s="44">
        <f>HearingAids7[[#This Row],[HAListPrice]]-HearingAids7[[#This Row],[Discount Amount 2]]</f>
        <v>2562.5</v>
      </c>
      <c r="L4" s="98">
        <f>HearingAids7[[#This Row],[ListPriceBinural]]</f>
        <v>5350</v>
      </c>
      <c r="M4" s="44"/>
      <c r="N4" s="44"/>
      <c r="O4" s="44"/>
      <c r="P4" s="44"/>
      <c r="Q4" s="45">
        <v>1</v>
      </c>
      <c r="R4" s="70" t="s">
        <v>49</v>
      </c>
      <c r="S4" s="71">
        <v>225</v>
      </c>
      <c r="T4" s="47"/>
      <c r="U4" s="47"/>
      <c r="V4" s="47"/>
      <c r="W4" s="44"/>
      <c r="Y4" s="15"/>
      <c r="Z4" s="15"/>
      <c r="AA4" s="15"/>
      <c r="AB4"/>
      <c r="AC4"/>
      <c r="AD4"/>
      <c r="AE4"/>
    </row>
    <row r="5" spans="1:31" ht="15">
      <c r="A5" s="41" t="s">
        <v>68</v>
      </c>
      <c r="B5" s="41" t="s">
        <v>69</v>
      </c>
      <c r="C5" s="42">
        <f>(HearingAids7[[#This Row],[haMSRP]]*2)+HearingAids7[[#This Row],[chargerPrice]]</f>
        <v>7903</v>
      </c>
      <c r="D5" s="97">
        <v>3839</v>
      </c>
      <c r="E5" s="44" t="s">
        <v>10</v>
      </c>
      <c r="F5" s="43">
        <f>HearingAids7[[#This Row],[haMSRP]]-((HearingAids7[[#This Row],[ListPriceBinural]]-HearingAids7[[#This Row],[chargerPrice]])/2)</f>
        <v>226.5</v>
      </c>
      <c r="G5" s="43">
        <f>HearingAids7[[#This Row],[haMSRP]]-HearingAids7[[#This Row],[Discount Amount 1]]</f>
        <v>3612.5</v>
      </c>
      <c r="H5" s="97">
        <v>7450</v>
      </c>
      <c r="I5" s="75" t="s">
        <v>80</v>
      </c>
      <c r="J5" s="44">
        <f>(HearingAids7[[#This Row],[haMSRP]]-HearingAids7[[#This Row],[Discount Amount 1]])-(HearingAids7[[#This Row],[haNetPriceBinural]]-HearingAids7[[#This Row],[chargerPrice]])/2</f>
        <v>500</v>
      </c>
      <c r="K5" s="44">
        <f>HearingAids7[[#This Row],[HAListPrice]]-HearingAids7[[#This Row],[Discount Amount 2]]</f>
        <v>3112.5</v>
      </c>
      <c r="L5" s="98">
        <f>HearingAids7[[#This Row],[ListPriceBinural]]-1000</f>
        <v>6450</v>
      </c>
      <c r="M5" s="44"/>
      <c r="N5" s="44"/>
      <c r="O5" s="44"/>
      <c r="P5" s="44"/>
      <c r="Q5" s="45">
        <v>1</v>
      </c>
      <c r="R5" s="70" t="s">
        <v>49</v>
      </c>
      <c r="S5" s="71">
        <v>225</v>
      </c>
      <c r="T5" s="47" t="s">
        <v>55</v>
      </c>
      <c r="U5" s="47">
        <v>0</v>
      </c>
      <c r="V5" s="47" t="s">
        <v>56</v>
      </c>
      <c r="Y5" s="15"/>
      <c r="Z5" s="15"/>
      <c r="AA5" s="15"/>
      <c r="AB5"/>
      <c r="AC5"/>
      <c r="AD5"/>
      <c r="AE5"/>
    </row>
    <row r="6" spans="1:31" ht="15">
      <c r="A6" s="41" t="s">
        <v>68</v>
      </c>
      <c r="B6" s="41" t="s">
        <v>69</v>
      </c>
      <c r="C6" s="42">
        <f>(HearingAids7[[#This Row],[haMSRP]]*2)+HearingAids7[[#This Row],[chargerPrice]]</f>
        <v>7903</v>
      </c>
      <c r="D6" s="97">
        <v>3839</v>
      </c>
      <c r="E6" s="44" t="s">
        <v>10</v>
      </c>
      <c r="F6" s="43">
        <f>HearingAids7[[#This Row],[haMSRP]]-((HearingAids7[[#This Row],[ListPriceBinural]]-HearingAids7[[#This Row],[chargerPrice]])/2)</f>
        <v>226.5</v>
      </c>
      <c r="G6" s="43">
        <f>HearingAids7[[#This Row],[haMSRP]]-HearingAids7[[#This Row],[Discount Amount 1]]</f>
        <v>3612.5</v>
      </c>
      <c r="H6" s="97">
        <v>7450</v>
      </c>
      <c r="I6" s="75" t="s">
        <v>83</v>
      </c>
      <c r="J6" s="44">
        <f>((HearingAids7[[#This Row],[haMSRP]]-HearingAids7[[#This Row],[Discount Amount 1]])-(HearingAids7[[#This Row],[haNetPriceBinural]]-HearingAids7[[#This Row],[chargerPrice]])/2)</f>
        <v>525</v>
      </c>
      <c r="K6" s="44">
        <f>HearingAids7[[#This Row],[HAListPrice]]-HearingAids7[[#This Row],[Discount Amount 2]]</f>
        <v>3087.5</v>
      </c>
      <c r="L6" s="98">
        <v>6400</v>
      </c>
      <c r="M6" s="75"/>
      <c r="N6" s="44"/>
      <c r="O6" s="75"/>
      <c r="P6" s="44"/>
      <c r="Q6" s="45">
        <v>1</v>
      </c>
      <c r="R6" s="70" t="s">
        <v>49</v>
      </c>
      <c r="S6" s="71">
        <v>225</v>
      </c>
      <c r="T6" s="47" t="s">
        <v>55</v>
      </c>
      <c r="U6" s="47">
        <v>0</v>
      </c>
      <c r="V6" s="47" t="s">
        <v>56</v>
      </c>
      <c r="Y6" s="15"/>
      <c r="Z6" s="15"/>
      <c r="AA6" s="15"/>
      <c r="AB6"/>
      <c r="AC6"/>
      <c r="AD6"/>
      <c r="AE6"/>
    </row>
    <row r="7" spans="1:31" ht="15">
      <c r="A7" s="41" t="s">
        <v>70</v>
      </c>
      <c r="B7" s="41" t="s">
        <v>71</v>
      </c>
      <c r="C7" s="42">
        <f>(HearingAids7[[#This Row],[haMSRP]]*2)+HearingAids7[[#This Row],[chargerPrice]]</f>
        <v>10303</v>
      </c>
      <c r="D7" s="97">
        <v>5039</v>
      </c>
      <c r="E7" s="44" t="s">
        <v>10</v>
      </c>
      <c r="F7" s="43">
        <f>HearingAids7[[#This Row],[haMSRP]]-((HearingAids7[[#This Row],[ListPriceBinural]]-HearingAids7[[#This Row],[chargerPrice]])/2)</f>
        <v>876.5</v>
      </c>
      <c r="G7" s="43">
        <f>HearingAids7[[#This Row],[haMSRP]]-HearingAids7[[#This Row],[Discount Amount 1]]</f>
        <v>4162.5</v>
      </c>
      <c r="H7" s="97">
        <v>8550</v>
      </c>
      <c r="I7" s="75" t="s">
        <v>80</v>
      </c>
      <c r="J7" s="44">
        <f>(HearingAids7[[#This Row],[haMSRP]]-HearingAids7[[#This Row],[Discount Amount 1]])-(HearingAids7[[#This Row],[haNetPriceBinural]]-HearingAids7[[#This Row],[chargerPrice]])/2</f>
        <v>500</v>
      </c>
      <c r="K7" s="44">
        <f>HearingAids7[[#This Row],[HAListPrice]]-HearingAids7[[#This Row],[Discount Amount 2]]</f>
        <v>3662.5</v>
      </c>
      <c r="L7" s="98">
        <f>HearingAids7[[#This Row],[ListPriceBinural]]-1000</f>
        <v>7550</v>
      </c>
      <c r="M7" s="44"/>
      <c r="N7" s="44"/>
      <c r="O7" s="44"/>
      <c r="P7" s="44"/>
      <c r="Q7" s="45">
        <v>1</v>
      </c>
      <c r="R7" s="70" t="s">
        <v>49</v>
      </c>
      <c r="S7" s="71">
        <v>225</v>
      </c>
      <c r="T7" s="47" t="s">
        <v>55</v>
      </c>
      <c r="U7" s="47">
        <v>0</v>
      </c>
      <c r="V7" s="47" t="s">
        <v>56</v>
      </c>
      <c r="Y7" s="15"/>
      <c r="Z7" s="15"/>
      <c r="AA7" s="15"/>
      <c r="AB7"/>
      <c r="AC7"/>
      <c r="AD7"/>
      <c r="AE7"/>
    </row>
    <row r="8" spans="1:31" ht="15">
      <c r="A8" s="41" t="s">
        <v>70</v>
      </c>
      <c r="B8" s="41" t="s">
        <v>71</v>
      </c>
      <c r="C8" s="42">
        <f>(HearingAids7[[#This Row],[haMSRP]]*2)+HearingAids7[[#This Row],[chargerPrice]]</f>
        <v>10303</v>
      </c>
      <c r="D8" s="97">
        <v>5039</v>
      </c>
      <c r="E8" s="44" t="s">
        <v>10</v>
      </c>
      <c r="F8" s="43">
        <f>HearingAids7[[#This Row],[haMSRP]]-((HearingAids7[[#This Row],[ListPriceBinural]]-HearingAids7[[#This Row],[chargerPrice]])/2)</f>
        <v>876.5</v>
      </c>
      <c r="G8" s="43">
        <f>HearingAids7[[#This Row],[haMSRP]]-HearingAids7[[#This Row],[Discount Amount 1]]</f>
        <v>4162.5</v>
      </c>
      <c r="H8" s="97">
        <v>8550</v>
      </c>
      <c r="I8" s="75" t="s">
        <v>83</v>
      </c>
      <c r="J8" s="44">
        <f>((HearingAids7[[#This Row],[haMSRP]]-HearingAids7[[#This Row],[Discount Amount 1]])-(HearingAids7[[#This Row],[haNetPriceBinural]]-HearingAids7[[#This Row],[chargerPrice]])/2)</f>
        <v>625</v>
      </c>
      <c r="K8" s="44">
        <f>HearingAids7[[#This Row],[HAListPrice]]-HearingAids7[[#This Row],[Discount Amount 2]]</f>
        <v>3537.5</v>
      </c>
      <c r="L8" s="98">
        <v>7300</v>
      </c>
      <c r="M8" s="75"/>
      <c r="N8" s="44"/>
      <c r="O8" s="75"/>
      <c r="P8" s="44"/>
      <c r="Q8" s="45">
        <v>1</v>
      </c>
      <c r="R8" s="70" t="s">
        <v>49</v>
      </c>
      <c r="S8" s="71">
        <v>225</v>
      </c>
      <c r="T8" s="47" t="s">
        <v>55</v>
      </c>
      <c r="U8" s="47">
        <v>0</v>
      </c>
      <c r="V8" s="47" t="s">
        <v>56</v>
      </c>
      <c r="W8" s="4"/>
      <c r="Y8" s="15"/>
      <c r="Z8" s="15"/>
      <c r="AA8" s="15"/>
      <c r="AB8" s="14"/>
      <c r="AC8" s="14"/>
      <c r="AD8"/>
      <c r="AE8"/>
    </row>
    <row r="9" spans="1:31" ht="15">
      <c r="A9" s="41" t="s">
        <v>43</v>
      </c>
      <c r="B9" s="41" t="s">
        <v>44</v>
      </c>
      <c r="C9" s="42">
        <f>(HearingAids7[[#This Row],[haMSRP]]*2)+HearingAids7[[#This Row],[chargerPrice]]</f>
        <v>3898</v>
      </c>
      <c r="D9" s="97">
        <v>1949</v>
      </c>
      <c r="E9" s="43" t="s">
        <v>10</v>
      </c>
      <c r="F9" s="43">
        <f>HearingAids7[[#This Row],[haMSRP]]-((HearingAids7[[#This Row],[ListPriceBinural]]-HearingAids7[[#This Row],[chargerPrice]])/2)</f>
        <v>399</v>
      </c>
      <c r="G9" s="43">
        <f>HearingAids7[[#This Row],[haMSRP]]-HearingAids7[[#This Row],[Discount Amount 1]]</f>
        <v>1550</v>
      </c>
      <c r="H9" s="97">
        <v>3100</v>
      </c>
      <c r="I9" s="53" t="s">
        <v>45</v>
      </c>
      <c r="J9" s="44">
        <v>0</v>
      </c>
      <c r="K9" s="44">
        <f>HearingAids7[[#This Row],[HAListPrice]]-HearingAids7[[#This Row],[Discount Amount 2]]</f>
        <v>1550</v>
      </c>
      <c r="L9" s="97"/>
      <c r="M9" s="44"/>
      <c r="N9" s="44"/>
      <c r="O9" s="44"/>
      <c r="P9" s="44"/>
      <c r="Q9" s="45">
        <v>1</v>
      </c>
      <c r="R9" s="44" t="s">
        <v>46</v>
      </c>
      <c r="S9" s="44">
        <v>0</v>
      </c>
      <c r="T9" s="47"/>
      <c r="U9" s="47"/>
      <c r="V9" s="46"/>
      <c r="Y9" s="15"/>
      <c r="Z9" s="15"/>
      <c r="AA9" s="15"/>
      <c r="AB9"/>
      <c r="AC9"/>
      <c r="AD9"/>
      <c r="AE9"/>
    </row>
    <row r="10" spans="1:31" ht="15">
      <c r="A10" s="41" t="s">
        <v>43</v>
      </c>
      <c r="B10" s="41" t="s">
        <v>44</v>
      </c>
      <c r="C10" s="42">
        <f>(HearingAids7[[#This Row],[haMSRP]]*2)+HearingAids7[[#This Row],[chargerPrice]]</f>
        <v>3898</v>
      </c>
      <c r="D10" s="97">
        <v>1949</v>
      </c>
      <c r="E10" s="43" t="s">
        <v>10</v>
      </c>
      <c r="F10" s="43">
        <f>HearingAids7[[#This Row],[haMSRP]]-((HearingAids7[[#This Row],[ListPriceBinural]]-HearingAids7[[#This Row],[chargerPrice]])/2)</f>
        <v>399</v>
      </c>
      <c r="G10" s="43">
        <f>HearingAids7[[#This Row],[haMSRP]]-HearingAids7[[#This Row],[Discount Amount 1]]</f>
        <v>1550</v>
      </c>
      <c r="H10" s="97">
        <v>3100</v>
      </c>
      <c r="I10" s="53" t="s">
        <v>75</v>
      </c>
      <c r="J10" s="44">
        <f>(HearingAids7[[#This Row],[haMSRP]]-HearingAids7[[#This Row],[Discount Amount 1]])-(HearingAids7[[#This Row],[haNetPriceBinural]]-HearingAids7[[#This Row],[chargerPrice]])/2</f>
        <v>0</v>
      </c>
      <c r="K10" s="44">
        <f>HearingAids7[[#This Row],[HAListPrice]]-HearingAids7[[#This Row],[Discount Amount 2]]</f>
        <v>1550</v>
      </c>
      <c r="L10" s="97">
        <v>3100</v>
      </c>
      <c r="M10" s="44"/>
      <c r="N10" s="44"/>
      <c r="O10" s="44"/>
      <c r="P10" s="44"/>
      <c r="Q10" s="45">
        <v>1</v>
      </c>
      <c r="R10" s="44" t="s">
        <v>46</v>
      </c>
      <c r="S10" s="44">
        <v>0</v>
      </c>
      <c r="T10" s="46" t="s">
        <v>55</v>
      </c>
      <c r="U10" s="47">
        <v>0</v>
      </c>
      <c r="V10" s="46" t="s">
        <v>56</v>
      </c>
      <c r="Y10" s="15"/>
      <c r="Z10" s="15"/>
      <c r="AA10" s="15"/>
      <c r="AB10"/>
      <c r="AC10"/>
      <c r="AD10"/>
      <c r="AE10"/>
    </row>
    <row r="11" spans="1:31" ht="15">
      <c r="A11" s="41" t="s">
        <v>47</v>
      </c>
      <c r="B11" s="41" t="s">
        <v>48</v>
      </c>
      <c r="C11" s="42">
        <f>(HearingAids7[[#This Row],[haMSRP]]*2)+HearingAids7[[#This Row],[chargerPrice]]</f>
        <v>5143</v>
      </c>
      <c r="D11" s="97">
        <v>2459</v>
      </c>
      <c r="E11" s="43" t="s">
        <v>10</v>
      </c>
      <c r="F11" s="43">
        <f>HearingAids7[[#This Row],[haMSRP]]-((HearingAids7[[#This Row],[ListPriceBinural]]-HearingAids7[[#This Row],[chargerPrice]])/2)</f>
        <v>576.5</v>
      </c>
      <c r="G11" s="43">
        <f>HearingAids7[[#This Row],[haMSRP]]-HearingAids7[[#This Row],[Discount Amount 1]]</f>
        <v>1882.5</v>
      </c>
      <c r="H11" s="97">
        <v>3990</v>
      </c>
      <c r="I11" s="53" t="s">
        <v>64</v>
      </c>
      <c r="J11" s="44">
        <f>(HearingAids7[[#This Row],[haMSRP]]-HearingAids7[[#This Row],[Discount Amount 1]])-(HearingAids7[[#This Row],[haNetPriceBinural]]-HearingAids7[[#This Row],[chargerPrice]])/2</f>
        <v>300</v>
      </c>
      <c r="K11" s="44">
        <f>HearingAids7[[#This Row],[HAListPrice]]-HearingAids7[[#This Row],[Discount Amount 2]]</f>
        <v>1582.5</v>
      </c>
      <c r="L11" s="97">
        <v>3390</v>
      </c>
      <c r="M11" s="44"/>
      <c r="N11" s="44"/>
      <c r="O11" s="44"/>
      <c r="P11" s="71"/>
      <c r="Q11" s="72">
        <v>1</v>
      </c>
      <c r="R11" s="73" t="s">
        <v>49</v>
      </c>
      <c r="S11" s="71">
        <v>225</v>
      </c>
      <c r="T11" s="74" t="s">
        <v>61</v>
      </c>
      <c r="U11" s="15">
        <v>0</v>
      </c>
      <c r="V11" s="50" t="s">
        <v>56</v>
      </c>
      <c r="Y11" s="15"/>
      <c r="Z11" s="15"/>
      <c r="AA11" s="15"/>
      <c r="AB11"/>
      <c r="AC11"/>
      <c r="AD11"/>
      <c r="AE11"/>
    </row>
    <row r="12" spans="1:31" ht="15">
      <c r="A12" s="41" t="s">
        <v>47</v>
      </c>
      <c r="B12" s="41" t="s">
        <v>48</v>
      </c>
      <c r="C12" s="42">
        <f>(HearingAids7[[#This Row],[haMSRP]]*2)+HearingAids7[[#This Row],[chargerPrice]]</f>
        <v>5143</v>
      </c>
      <c r="D12" s="97">
        <v>2459</v>
      </c>
      <c r="E12" s="43" t="s">
        <v>10</v>
      </c>
      <c r="F12" s="43">
        <f>HearingAids7[[#This Row],[haMSRP]]-((HearingAids7[[#This Row],[ListPriceBinural]]-HearingAids7[[#This Row],[chargerPrice]])/2)</f>
        <v>576.5</v>
      </c>
      <c r="G12" s="43">
        <f>HearingAids7[[#This Row],[haMSRP]]-HearingAids7[[#This Row],[Discount Amount 1]]</f>
        <v>1882.5</v>
      </c>
      <c r="H12" s="97">
        <v>3990</v>
      </c>
      <c r="I12" s="53" t="s">
        <v>45</v>
      </c>
      <c r="J12" s="44">
        <v>0</v>
      </c>
      <c r="K12" s="44">
        <f>HearingAids7[[#This Row],[HAListPrice]]-HearingAids7[[#This Row],[Discount Amount 2]]</f>
        <v>1882.5</v>
      </c>
      <c r="L12" s="97">
        <v>3990</v>
      </c>
      <c r="M12" s="44"/>
      <c r="N12" s="44"/>
      <c r="O12" s="44"/>
      <c r="P12" s="44"/>
      <c r="Q12" s="45">
        <v>1</v>
      </c>
      <c r="R12" s="70" t="s">
        <v>49</v>
      </c>
      <c r="S12" s="44">
        <v>225</v>
      </c>
      <c r="T12" s="74" t="s">
        <v>61</v>
      </c>
      <c r="U12" s="15">
        <v>0</v>
      </c>
      <c r="V12" s="50" t="s">
        <v>56</v>
      </c>
      <c r="Y12" s="15"/>
      <c r="Z12" s="15"/>
      <c r="AA12" s="15"/>
      <c r="AB12"/>
      <c r="AC12"/>
      <c r="AD12"/>
      <c r="AE12"/>
    </row>
    <row r="13" spans="1:31" ht="15">
      <c r="A13" s="41" t="s">
        <v>47</v>
      </c>
      <c r="B13" s="41" t="s">
        <v>48</v>
      </c>
      <c r="C13" s="42">
        <f>(HearingAids7[[#This Row],[haMSRP]]*2)+HearingAids7[[#This Row],[chargerPrice]]</f>
        <v>5143</v>
      </c>
      <c r="D13" s="97">
        <v>2459</v>
      </c>
      <c r="E13" s="43" t="s">
        <v>10</v>
      </c>
      <c r="F13" s="43">
        <f>HearingAids7[[#This Row],[haMSRP]]-((HearingAids7[[#This Row],[ListPriceBinural]]-HearingAids7[[#This Row],[chargerPrice]])/2)</f>
        <v>576.5</v>
      </c>
      <c r="G13" s="43">
        <f>HearingAids7[[#This Row],[haMSRP]]-HearingAids7[[#This Row],[Discount Amount 1]]</f>
        <v>1882.5</v>
      </c>
      <c r="H13" s="97">
        <v>3990</v>
      </c>
      <c r="I13" s="53" t="s">
        <v>79</v>
      </c>
      <c r="J13" s="44">
        <f>(HearingAids7[[#This Row],[haMSRP]]-HearingAids7[[#This Row],[Discount Amount 1]])-(HearingAids7[[#This Row],[haNetPriceBinural]]-HearingAids7[[#This Row],[chargerPrice]])/2</f>
        <v>300</v>
      </c>
      <c r="K13" s="44">
        <f>HearingAids7[[#This Row],[HAListPrice]]-HearingAids7[[#This Row],[Discount Amount 2]]</f>
        <v>1582.5</v>
      </c>
      <c r="L13" s="97">
        <v>3390</v>
      </c>
      <c r="M13" s="44"/>
      <c r="N13" s="44"/>
      <c r="O13" s="44"/>
      <c r="P13" s="71"/>
      <c r="Q13" s="45">
        <v>1</v>
      </c>
      <c r="R13" s="70" t="s">
        <v>49</v>
      </c>
      <c r="S13" s="71">
        <v>225</v>
      </c>
      <c r="T13" s="47" t="s">
        <v>61</v>
      </c>
      <c r="U13" s="15">
        <v>0</v>
      </c>
      <c r="V13" s="46" t="s">
        <v>56</v>
      </c>
      <c r="Y13" s="15"/>
      <c r="Z13" s="15"/>
      <c r="AA13" s="15"/>
      <c r="AB13"/>
      <c r="AC13"/>
      <c r="AD13"/>
      <c r="AE13"/>
    </row>
    <row r="14" spans="1:31" ht="15">
      <c r="A14" s="41" t="s">
        <v>47</v>
      </c>
      <c r="B14" s="41" t="s">
        <v>48</v>
      </c>
      <c r="C14" s="42">
        <f>(HearingAids7[[#This Row],[haMSRP]]*2)+HearingAids7[[#This Row],[chargerPrice]]</f>
        <v>5143</v>
      </c>
      <c r="D14" s="97">
        <v>2459</v>
      </c>
      <c r="E14" s="43" t="s">
        <v>10</v>
      </c>
      <c r="F14" s="43">
        <f>HearingAids7[[#This Row],[haMSRP]]-((HearingAids7[[#This Row],[ListPriceBinural]]-HearingAids7[[#This Row],[chargerPrice]])/2)</f>
        <v>576.5</v>
      </c>
      <c r="G14" s="43">
        <f>HearingAids7[[#This Row],[haMSRP]]-HearingAids7[[#This Row],[Discount Amount 1]]</f>
        <v>1882.5</v>
      </c>
      <c r="H14" s="97">
        <v>3990</v>
      </c>
      <c r="I14" s="53" t="s">
        <v>76</v>
      </c>
      <c r="J14" s="44">
        <f>(HearingAids7[[#This Row],[haMSRP]]-HearingAids7[[#This Row],[Discount Amount 1]])-(HearingAids7[[#This Row],[haNetPriceBinural]]-HearingAids7[[#This Row],[chargerPrice]])/2</f>
        <v>300</v>
      </c>
      <c r="K14" s="44">
        <f>HearingAids7[[#This Row],[HAListPrice]]-HearingAids7[[#This Row],[Discount Amount 2]]</f>
        <v>1582.5</v>
      </c>
      <c r="L14" s="97">
        <v>3390</v>
      </c>
      <c r="M14" s="44"/>
      <c r="N14" s="44"/>
      <c r="O14" s="44"/>
      <c r="P14" s="71"/>
      <c r="Q14" s="72">
        <v>1</v>
      </c>
      <c r="R14" s="73" t="s">
        <v>49</v>
      </c>
      <c r="S14" s="71">
        <v>225</v>
      </c>
      <c r="T14" s="74" t="s">
        <v>61</v>
      </c>
      <c r="U14" s="15">
        <v>0</v>
      </c>
      <c r="V14" s="50" t="s">
        <v>56</v>
      </c>
      <c r="Y14" s="15"/>
      <c r="Z14" s="15"/>
      <c r="AA14" s="15"/>
      <c r="AB14"/>
      <c r="AC14"/>
      <c r="AD14"/>
      <c r="AE14"/>
    </row>
    <row r="15" spans="1:31" ht="15">
      <c r="A15" s="41" t="s">
        <v>47</v>
      </c>
      <c r="B15" s="41" t="s">
        <v>48</v>
      </c>
      <c r="C15" s="42">
        <f>(HearingAids7[[#This Row],[haMSRP]]*2)+HearingAids7[[#This Row],[chargerPrice]]</f>
        <v>5143</v>
      </c>
      <c r="D15" s="97">
        <v>2459</v>
      </c>
      <c r="E15" s="43" t="s">
        <v>10</v>
      </c>
      <c r="F15" s="43">
        <f>HearingAids7[[#This Row],[haMSRP]]-((HearingAids7[[#This Row],[ListPriceBinural]]-HearingAids7[[#This Row],[chargerPrice]])/2)</f>
        <v>576.5</v>
      </c>
      <c r="G15" s="43">
        <f>HearingAids7[[#This Row],[haMSRP]]-HearingAids7[[#This Row],[Discount Amount 1]]</f>
        <v>1882.5</v>
      </c>
      <c r="H15" s="97">
        <v>3990</v>
      </c>
      <c r="I15" s="53" t="s">
        <v>77</v>
      </c>
      <c r="J15" s="44">
        <f>(HearingAids7[[#This Row],[haMSRP]]-HearingAids7[[#This Row],[Discount Amount 1]])-(HearingAids7[[#This Row],[haNetPriceBinural]]-HearingAids7[[#This Row],[chargerPrice]])/2</f>
        <v>300</v>
      </c>
      <c r="K15" s="44">
        <f>HearingAids7[[#This Row],[HAListPrice]]-HearingAids7[[#This Row],[Discount Amount 2]]</f>
        <v>1582.5</v>
      </c>
      <c r="L15" s="97">
        <v>3390</v>
      </c>
      <c r="M15" s="44"/>
      <c r="N15" s="44"/>
      <c r="O15" s="44"/>
      <c r="P15" s="71"/>
      <c r="Q15" s="72">
        <v>1</v>
      </c>
      <c r="R15" s="73" t="s">
        <v>49</v>
      </c>
      <c r="S15" s="71">
        <v>225</v>
      </c>
      <c r="T15" s="74" t="s">
        <v>61</v>
      </c>
      <c r="U15" s="15">
        <v>0</v>
      </c>
      <c r="V15" s="50" t="s">
        <v>56</v>
      </c>
      <c r="Y15" s="15"/>
      <c r="Z15" s="15"/>
      <c r="AA15" s="15"/>
      <c r="AB15"/>
      <c r="AC15"/>
      <c r="AD15"/>
      <c r="AE15"/>
    </row>
    <row r="16" spans="1:31" ht="15">
      <c r="A16" s="41" t="s">
        <v>47</v>
      </c>
      <c r="B16" s="41" t="s">
        <v>48</v>
      </c>
      <c r="C16" s="42">
        <f>(HearingAids7[[#This Row],[haMSRP]]*2)+HearingAids7[[#This Row],[chargerPrice]]</f>
        <v>5143</v>
      </c>
      <c r="D16" s="97">
        <v>2459</v>
      </c>
      <c r="E16" s="43" t="s">
        <v>10</v>
      </c>
      <c r="F16" s="43">
        <f>HearingAids7[[#This Row],[haMSRP]]-((HearingAids7[[#This Row],[ListPriceBinural]]-HearingAids7[[#This Row],[chargerPrice]])/2)</f>
        <v>576.5</v>
      </c>
      <c r="G16" s="43">
        <f>HearingAids7[[#This Row],[haMSRP]]-HearingAids7[[#This Row],[Discount Amount 1]]</f>
        <v>1882.5</v>
      </c>
      <c r="H16" s="97">
        <v>3990</v>
      </c>
      <c r="I16" s="53" t="s">
        <v>78</v>
      </c>
      <c r="J16" s="44">
        <f>(HearingAids7[[#This Row],[haMSRP]]-HearingAids7[[#This Row],[Discount Amount 1]])-(HearingAids7[[#This Row],[haNetPriceBinural]]-HearingAids7[[#This Row],[chargerPrice]])/2</f>
        <v>300</v>
      </c>
      <c r="K16" s="44">
        <f>HearingAids7[[#This Row],[HAListPrice]]-HearingAids7[[#This Row],[Discount Amount 2]]</f>
        <v>1582.5</v>
      </c>
      <c r="L16" s="97">
        <v>3390</v>
      </c>
      <c r="M16" s="44"/>
      <c r="N16" s="44"/>
      <c r="O16" s="44"/>
      <c r="P16" s="71"/>
      <c r="Q16" s="72">
        <v>1</v>
      </c>
      <c r="R16" s="73" t="s">
        <v>49</v>
      </c>
      <c r="S16" s="71">
        <v>225</v>
      </c>
      <c r="T16" s="74" t="s">
        <v>61</v>
      </c>
      <c r="U16" s="15">
        <v>0</v>
      </c>
      <c r="V16" s="50" t="s">
        <v>56</v>
      </c>
      <c r="Y16" s="15"/>
      <c r="Z16" s="15"/>
      <c r="AA16" s="15"/>
      <c r="AB16"/>
      <c r="AC16"/>
      <c r="AD16"/>
      <c r="AE16"/>
    </row>
    <row r="17" spans="1:31" ht="15">
      <c r="A17" s="41" t="s">
        <v>47</v>
      </c>
      <c r="B17" s="41" t="s">
        <v>48</v>
      </c>
      <c r="C17" s="42">
        <f>(HearingAids7[[#This Row],[haMSRP]]*2)+HearingAids7[[#This Row],[chargerPrice]]</f>
        <v>5143</v>
      </c>
      <c r="D17" s="97">
        <v>2459</v>
      </c>
      <c r="E17" s="43" t="s">
        <v>10</v>
      </c>
      <c r="F17" s="43">
        <f>HearingAids7[[#This Row],[haMSRP]]-((HearingAids7[[#This Row],[ListPriceBinural]]-HearingAids7[[#This Row],[chargerPrice]])/2)</f>
        <v>576.5</v>
      </c>
      <c r="G17" s="43">
        <f>HearingAids7[[#This Row],[haMSRP]]-HearingAids7[[#This Row],[Discount Amount 1]]</f>
        <v>1882.5</v>
      </c>
      <c r="H17" s="97">
        <v>3990</v>
      </c>
      <c r="I17" s="53" t="s">
        <v>81</v>
      </c>
      <c r="J17" s="44">
        <f>(HearingAids7[[#This Row],[haMSRP]]-HearingAids7[[#This Row],[Discount Amount 1]])-(HearingAids7[[#This Row],[haNetPriceBinural]]-HearingAids7[[#This Row],[chargerPrice]])/2</f>
        <v>300</v>
      </c>
      <c r="K17" s="44">
        <f>HearingAids7[[#This Row],[HAListPrice]]-HearingAids7[[#This Row],[Discount Amount 2]]</f>
        <v>1582.5</v>
      </c>
      <c r="L17" s="97">
        <v>3390</v>
      </c>
      <c r="M17" s="44"/>
      <c r="N17" s="44"/>
      <c r="O17" s="44"/>
      <c r="P17" s="71"/>
      <c r="Q17" s="72">
        <v>1</v>
      </c>
      <c r="R17" s="73" t="s">
        <v>49</v>
      </c>
      <c r="S17" s="71">
        <v>225</v>
      </c>
      <c r="T17" s="74" t="s">
        <v>61</v>
      </c>
      <c r="U17" s="15">
        <v>0</v>
      </c>
      <c r="V17" s="50" t="s">
        <v>56</v>
      </c>
      <c r="W17" s="4"/>
      <c r="Y17" s="15"/>
      <c r="Z17" s="15"/>
      <c r="AA17" s="15"/>
      <c r="AB17"/>
      <c r="AC17"/>
      <c r="AD17"/>
      <c r="AE17"/>
    </row>
    <row r="18" spans="1:31" ht="15">
      <c r="A18" s="41" t="s">
        <v>47</v>
      </c>
      <c r="B18" s="41" t="s">
        <v>48</v>
      </c>
      <c r="C18" s="42">
        <f>(HearingAids7[[#This Row],[haMSRP]]*2)+HearingAids7[[#This Row],[chargerPrice]]</f>
        <v>5143</v>
      </c>
      <c r="D18" s="97">
        <v>2459</v>
      </c>
      <c r="E18" s="44" t="s">
        <v>10</v>
      </c>
      <c r="F18" s="43">
        <f>HearingAids7[[#This Row],[haMSRP]]-((HearingAids7[[#This Row],[ListPriceBinural]]-HearingAids7[[#This Row],[chargerPrice]])/2)</f>
        <v>576.5</v>
      </c>
      <c r="G18" s="43">
        <f>HearingAids7[[#This Row],[haMSRP]]-HearingAids7[[#This Row],[Discount Amount 1]]</f>
        <v>1882.5</v>
      </c>
      <c r="H18" s="97">
        <v>3990</v>
      </c>
      <c r="I18" s="53" t="s">
        <v>82</v>
      </c>
      <c r="J18" s="44">
        <f>(HearingAids7[[#This Row],[haMSRP]]-HearingAids7[[#This Row],[Discount Amount 1]])-(HearingAids7[[#This Row],[haNetPriceBinural]]-HearingAids7[[#This Row],[chargerPrice]])/2</f>
        <v>300</v>
      </c>
      <c r="K18" s="44">
        <f>HearingAids7[[#This Row],[HAListPrice]]-HearingAids7[[#This Row],[Discount Amount 2]]</f>
        <v>1582.5</v>
      </c>
      <c r="L18" s="97">
        <v>3390</v>
      </c>
      <c r="M18" s="44"/>
      <c r="N18" s="44"/>
      <c r="O18" s="44"/>
      <c r="P18" s="90"/>
      <c r="Q18" s="91">
        <v>1</v>
      </c>
      <c r="R18" s="92" t="s">
        <v>49</v>
      </c>
      <c r="S18" s="71">
        <v>225</v>
      </c>
      <c r="T18" s="93" t="s">
        <v>61</v>
      </c>
      <c r="U18" s="20">
        <v>0</v>
      </c>
      <c r="V18" s="95" t="s">
        <v>56</v>
      </c>
      <c r="Y18" s="15"/>
      <c r="Z18" s="15"/>
      <c r="AA18" s="15"/>
      <c r="AB18"/>
      <c r="AC18"/>
      <c r="AD18"/>
      <c r="AE18"/>
    </row>
    <row r="19" spans="1:31" ht="15">
      <c r="A19" s="41" t="s">
        <v>47</v>
      </c>
      <c r="B19" s="41" t="s">
        <v>48</v>
      </c>
      <c r="C19" s="42">
        <f>(HearingAids7[[#This Row],[haMSRP]]*2)+HearingAids7[[#This Row],[chargerPrice]]</f>
        <v>5143</v>
      </c>
      <c r="D19" s="97">
        <v>2459</v>
      </c>
      <c r="E19" s="44" t="s">
        <v>10</v>
      </c>
      <c r="F19" s="43">
        <f>HearingAids7[[#This Row],[haMSRP]]-((HearingAids7[[#This Row],[ListPriceBinural]]-HearingAids7[[#This Row],[chargerPrice]])/2)</f>
        <v>576.5</v>
      </c>
      <c r="G19" s="43">
        <f>HearingAids7[[#This Row],[haMSRP]]-HearingAids7[[#This Row],[Discount Amount 1]]</f>
        <v>1882.5</v>
      </c>
      <c r="H19" s="97">
        <v>3990</v>
      </c>
      <c r="I19" s="53" t="s">
        <v>85</v>
      </c>
      <c r="J19" s="44">
        <f>(HearingAids7[[#This Row],[haMSRP]]-HearingAids7[[#This Row],[Discount Amount 1]])-(HearingAids7[[#This Row],[haNetPriceBinural]]-HearingAids7[[#This Row],[chargerPrice]])/2</f>
        <v>300</v>
      </c>
      <c r="K19" s="44">
        <f>HearingAids7[[#This Row],[HAListPrice]]-HearingAids7[[#This Row],[Discount Amount 2]]</f>
        <v>1582.5</v>
      </c>
      <c r="L19" s="97">
        <v>3390</v>
      </c>
      <c r="M19" s="44"/>
      <c r="N19" s="44"/>
      <c r="O19" s="44"/>
      <c r="P19" s="90"/>
      <c r="Q19" s="91">
        <v>1</v>
      </c>
      <c r="R19" s="92" t="s">
        <v>49</v>
      </c>
      <c r="S19" s="90">
        <v>225</v>
      </c>
      <c r="T19" s="93" t="s">
        <v>61</v>
      </c>
      <c r="U19" s="20">
        <v>0</v>
      </c>
      <c r="V19" s="95" t="s">
        <v>56</v>
      </c>
      <c r="Y19" s="15"/>
      <c r="Z19" s="15"/>
      <c r="AA19" s="15"/>
      <c r="AB19"/>
      <c r="AC19"/>
      <c r="AD19"/>
      <c r="AE19"/>
    </row>
    <row r="20" spans="1:31" ht="15">
      <c r="A20" s="41" t="s">
        <v>47</v>
      </c>
      <c r="B20" s="41" t="s">
        <v>48</v>
      </c>
      <c r="C20" s="42">
        <f>(HearingAids7[[#This Row],[haMSRP]]*2)+HearingAids7[[#This Row],[chargerPrice]]</f>
        <v>5143</v>
      </c>
      <c r="D20" s="97">
        <v>2459</v>
      </c>
      <c r="E20" s="44" t="s">
        <v>10</v>
      </c>
      <c r="F20" s="43">
        <f>HearingAids7[[#This Row],[haMSRP]]-((HearingAids7[[#This Row],[ListPriceBinural]]-HearingAids7[[#This Row],[chargerPrice]])/2)</f>
        <v>576.5</v>
      </c>
      <c r="G20" s="43">
        <f>HearingAids7[[#This Row],[haMSRP]]-HearingAids7[[#This Row],[Discount Amount 1]]</f>
        <v>1882.5</v>
      </c>
      <c r="H20" s="97">
        <v>3990</v>
      </c>
      <c r="I20" s="53" t="s">
        <v>84</v>
      </c>
      <c r="J20" s="44">
        <f>(HearingAids7[[#This Row],[haMSRP]]-HearingAids7[[#This Row],[Discount Amount 1]])-(HearingAids7[[#This Row],[haNetPriceBinural]]-HearingAids7[[#This Row],[chargerPrice]])/2</f>
        <v>300</v>
      </c>
      <c r="K20" s="44">
        <f>HearingAids7[[#This Row],[HAListPrice]]-HearingAids7[[#This Row],[Discount Amount 2]]</f>
        <v>1582.5</v>
      </c>
      <c r="L20" s="97">
        <v>3390</v>
      </c>
      <c r="M20" s="44"/>
      <c r="N20" s="44"/>
      <c r="O20" s="44"/>
      <c r="P20" s="90"/>
      <c r="Q20" s="45">
        <v>1</v>
      </c>
      <c r="R20" s="70" t="s">
        <v>49</v>
      </c>
      <c r="S20" s="90">
        <v>225</v>
      </c>
      <c r="T20" s="47" t="s">
        <v>61</v>
      </c>
      <c r="U20" s="4">
        <v>0</v>
      </c>
      <c r="V20" s="52" t="s">
        <v>56</v>
      </c>
      <c r="Y20" s="15"/>
      <c r="Z20" s="15"/>
      <c r="AA20" s="15"/>
      <c r="AB20"/>
      <c r="AC20"/>
      <c r="AD20"/>
      <c r="AE20"/>
    </row>
    <row r="21" spans="1:31" ht="15">
      <c r="A21" s="41" t="s">
        <v>47</v>
      </c>
      <c r="B21" s="41" t="s">
        <v>48</v>
      </c>
      <c r="C21" s="42">
        <f>(HearingAids7[[#This Row],[haMSRP]]*2)+HearingAids7[[#This Row],[chargerPrice]]</f>
        <v>5143</v>
      </c>
      <c r="D21" s="97">
        <v>2459</v>
      </c>
      <c r="E21" s="44" t="s">
        <v>10</v>
      </c>
      <c r="F21" s="43">
        <f>HearingAids7[[#This Row],[haMSRP]]-((HearingAids7[[#This Row],[ListPriceBinural]]-HearingAids7[[#This Row],[chargerPrice]])/2)</f>
        <v>576.5</v>
      </c>
      <c r="G21" s="43">
        <f>HearingAids7[[#This Row],[haMSRP]]-HearingAids7[[#This Row],[Discount Amount 1]]</f>
        <v>1882.5</v>
      </c>
      <c r="H21" s="97">
        <v>3990</v>
      </c>
      <c r="I21" s="75" t="s">
        <v>86</v>
      </c>
      <c r="J21" s="44">
        <f>(HearingAids7[[#This Row],[haMSRP]]-HearingAids7[[#This Row],[Discount Amount 1]])-(HearingAids7[[#This Row],[haNetPriceBinural]]-HearingAids7[[#This Row],[chargerPrice]])/2</f>
        <v>300</v>
      </c>
      <c r="K21" s="44">
        <f>HearingAids7[[#This Row],[HAListPrice]]-HearingAids7[[#This Row],[Discount Amount 2]]</f>
        <v>1582.5</v>
      </c>
      <c r="L21" s="98">
        <v>3390</v>
      </c>
      <c r="M21" s="44"/>
      <c r="N21" s="44"/>
      <c r="O21" s="44"/>
      <c r="P21" s="44"/>
      <c r="Q21" s="45">
        <v>1</v>
      </c>
      <c r="R21" s="70" t="s">
        <v>49</v>
      </c>
      <c r="S21" s="90">
        <v>225</v>
      </c>
      <c r="T21" s="47" t="s">
        <v>61</v>
      </c>
      <c r="U21" s="15">
        <v>0</v>
      </c>
      <c r="V21" s="47" t="s">
        <v>56</v>
      </c>
      <c r="Y21" s="15"/>
      <c r="Z21" s="15"/>
      <c r="AA21" s="15"/>
      <c r="AB21"/>
      <c r="AC21"/>
      <c r="AD21"/>
      <c r="AE21"/>
    </row>
    <row r="22" spans="1:31" ht="15">
      <c r="A22" s="41" t="s">
        <v>47</v>
      </c>
      <c r="B22" s="41" t="s">
        <v>48</v>
      </c>
      <c r="C22" s="42">
        <f>(HearingAids7[[#This Row],[haMSRP]]*2)+HearingAids7[[#This Row],[chargerPrice]]</f>
        <v>5143</v>
      </c>
      <c r="D22" s="97">
        <v>2459</v>
      </c>
      <c r="E22" s="44" t="s">
        <v>10</v>
      </c>
      <c r="F22" s="43">
        <f>HearingAids7[[#This Row],[haMSRP]]-((HearingAids7[[#This Row],[ListPriceBinural]]-HearingAids7[[#This Row],[chargerPrice]])/2)</f>
        <v>576.5</v>
      </c>
      <c r="G22" s="43">
        <f>HearingAids7[[#This Row],[haMSRP]]-HearingAids7[[#This Row],[Discount Amount 1]]</f>
        <v>1882.5</v>
      </c>
      <c r="H22" s="97">
        <v>3990</v>
      </c>
      <c r="I22" s="53" t="s">
        <v>87</v>
      </c>
      <c r="J22" s="44">
        <f>(HearingAids7[[#This Row],[haMSRP]]-HearingAids7[[#This Row],[Discount Amount 1]])-(HearingAids7[[#This Row],[haNetPriceBinural]]-HearingAids7[[#This Row],[chargerPrice]])/2</f>
        <v>300</v>
      </c>
      <c r="K22" s="44">
        <f>HearingAids7[[#This Row],[HAListPrice]]-HearingAids7[[#This Row],[Discount Amount 2]]</f>
        <v>1582.5</v>
      </c>
      <c r="L22" s="97">
        <v>3390</v>
      </c>
      <c r="M22" s="44"/>
      <c r="N22" s="44"/>
      <c r="O22" s="44"/>
      <c r="P22" s="90"/>
      <c r="Q22" s="45">
        <v>1</v>
      </c>
      <c r="R22" s="70" t="s">
        <v>49</v>
      </c>
      <c r="S22" s="90">
        <v>225</v>
      </c>
      <c r="T22" s="47" t="s">
        <v>61</v>
      </c>
      <c r="U22" s="4">
        <v>0</v>
      </c>
      <c r="V22" s="52" t="s">
        <v>56</v>
      </c>
      <c r="Y22" s="15"/>
      <c r="Z22" s="15"/>
      <c r="AA22" s="15"/>
      <c r="AB22"/>
      <c r="AC22"/>
      <c r="AD22"/>
      <c r="AE22"/>
    </row>
    <row r="23" spans="1:31" ht="15">
      <c r="A23" s="41" t="s">
        <v>47</v>
      </c>
      <c r="B23" s="41" t="s">
        <v>48</v>
      </c>
      <c r="C23" s="42">
        <f>(HearingAids7[[#This Row],[haMSRP]]*2)+HearingAids7[[#This Row],[chargerPrice]]</f>
        <v>5143</v>
      </c>
      <c r="D23" s="97">
        <v>2459</v>
      </c>
      <c r="E23" s="44" t="s">
        <v>10</v>
      </c>
      <c r="F23" s="43">
        <f>HearingAids7[[#This Row],[haMSRP]]-((HearingAids7[[#This Row],[ListPriceBinural]]-HearingAids7[[#This Row],[chargerPrice]])/2)</f>
        <v>576.5</v>
      </c>
      <c r="G23" s="43">
        <f>HearingAids7[[#This Row],[haMSRP]]-HearingAids7[[#This Row],[Discount Amount 1]]</f>
        <v>1882.5</v>
      </c>
      <c r="H23" s="97">
        <v>3990</v>
      </c>
      <c r="I23" s="53" t="s">
        <v>88</v>
      </c>
      <c r="J23" s="44">
        <f>(HearingAids7[[#This Row],[haMSRP]]-HearingAids7[[#This Row],[Discount Amount 1]])-(HearingAids7[[#This Row],[haNetPriceBinural]]-HearingAids7[[#This Row],[chargerPrice]])/2</f>
        <v>300</v>
      </c>
      <c r="K23" s="44">
        <f>HearingAids7[[#This Row],[HAListPrice]]-HearingAids7[[#This Row],[Discount Amount 2]]</f>
        <v>1582.5</v>
      </c>
      <c r="L23" s="97">
        <v>3390</v>
      </c>
      <c r="M23" s="44"/>
      <c r="N23" s="44"/>
      <c r="O23" s="44"/>
      <c r="P23" s="90"/>
      <c r="Q23" s="91">
        <v>1</v>
      </c>
      <c r="R23" s="92" t="s">
        <v>49</v>
      </c>
      <c r="S23" s="90">
        <v>225</v>
      </c>
      <c r="T23" s="93" t="s">
        <v>61</v>
      </c>
      <c r="U23" s="20">
        <v>0</v>
      </c>
      <c r="V23" s="95" t="s">
        <v>56</v>
      </c>
      <c r="Y23" s="15"/>
      <c r="Z23" s="15"/>
      <c r="AA23" s="15"/>
      <c r="AB23"/>
      <c r="AC23"/>
      <c r="AD23"/>
      <c r="AE23"/>
    </row>
    <row r="24" spans="1:31" ht="15">
      <c r="A24" s="41" t="s">
        <v>53</v>
      </c>
      <c r="B24" s="88" t="s">
        <v>54</v>
      </c>
      <c r="C24" s="42">
        <f>(HearingAids7[[#This Row],[haMSRP]]*2)+HearingAids7[[#This Row],[chargerPrice]]</f>
        <v>12203</v>
      </c>
      <c r="D24" s="97">
        <v>5939</v>
      </c>
      <c r="E24" s="44" t="s">
        <v>10</v>
      </c>
      <c r="F24" s="43">
        <f>HearingAids7[[#This Row],[haMSRP]]-((HearingAids7[[#This Row],[ListPriceBinural]]-HearingAids7[[#This Row],[chargerPrice]])/2)</f>
        <v>1276.5</v>
      </c>
      <c r="G24" s="43">
        <f>HearingAids7[[#This Row],[haMSRP]]-HearingAids7[[#This Row],[Discount Amount 1]]</f>
        <v>4662.5</v>
      </c>
      <c r="H24" s="97">
        <v>9650</v>
      </c>
      <c r="I24" s="75" t="s">
        <v>64</v>
      </c>
      <c r="J24" s="44">
        <f>(HearingAids7[[#This Row],[haMSRP]]-HearingAids7[[#This Row],[Discount Amount 1]])-(HearingAids7[[#This Row],[haNetPriceBinural]]-HearingAids7[[#This Row],[chargerPrice]])/2</f>
        <v>1480</v>
      </c>
      <c r="K24" s="44">
        <f>HearingAids7[[#This Row],[HAListPrice]]-HearingAids7[[#This Row],[Discount Amount 2]]</f>
        <v>3182.5</v>
      </c>
      <c r="L24" s="97">
        <v>6690</v>
      </c>
      <c r="M24" s="44"/>
      <c r="N24" s="44">
        <f>((HearingAids7[[#This Row],[haNetPriceBinural]]-HearingAids7[[#This Row],[chargerPrice]])/2)-HearingAids7[[#This Row],[haNetPriceBinural2]]</f>
        <v>3182.5</v>
      </c>
      <c r="O24" s="44">
        <f>HearingAids7[[#This Row],[haNetPrice]]-HearingAids7[[#This Row],[Discount Amount 3]]</f>
        <v>0</v>
      </c>
      <c r="P24" s="44"/>
      <c r="Q24" s="45">
        <v>1</v>
      </c>
      <c r="R24" s="45" t="s">
        <v>52</v>
      </c>
      <c r="S24" s="45">
        <v>325</v>
      </c>
      <c r="T24" s="47" t="s">
        <v>55</v>
      </c>
      <c r="U24" s="47">
        <v>0</v>
      </c>
      <c r="V24" s="47" t="s">
        <v>56</v>
      </c>
      <c r="Y24" s="15"/>
      <c r="Z24" s="15"/>
      <c r="AA24" s="15"/>
      <c r="AB24"/>
      <c r="AC24"/>
      <c r="AD24"/>
      <c r="AE24"/>
    </row>
    <row r="25" spans="1:31" ht="15">
      <c r="A25" s="41" t="s">
        <v>53</v>
      </c>
      <c r="B25" s="41" t="s">
        <v>54</v>
      </c>
      <c r="C25" s="42">
        <f>(HearingAids7[[#This Row],[haMSRP]]*2)+HearingAids7[[#This Row],[chargerPrice]]</f>
        <v>12203</v>
      </c>
      <c r="D25" s="97">
        <v>5939</v>
      </c>
      <c r="E25" s="44" t="s">
        <v>10</v>
      </c>
      <c r="F25" s="43">
        <f>HearingAids7[[#This Row],[haMSRP]]-((HearingAids7[[#This Row],[ListPriceBinural]]-HearingAids7[[#This Row],[chargerPrice]])/2)</f>
        <v>1276.5</v>
      </c>
      <c r="G25" s="43">
        <f>HearingAids7[[#This Row],[haMSRP]]-HearingAids7[[#This Row],[Discount Amount 1]]</f>
        <v>4662.5</v>
      </c>
      <c r="H25" s="97">
        <v>9650</v>
      </c>
      <c r="I25" s="75" t="s">
        <v>76</v>
      </c>
      <c r="J25" s="44">
        <f>(HearingAids7[[#This Row],[haMSRP]]-HearingAids7[[#This Row],[Discount Amount 1]])-(HearingAids7[[#This Row],[haNetPriceBinural]]-HearingAids7[[#This Row],[chargerPrice]])/2</f>
        <v>1480</v>
      </c>
      <c r="K25" s="44">
        <f>HearingAids7[[#This Row],[HAListPrice]]-HearingAids7[[#This Row],[Discount Amount 2]]</f>
        <v>3182.5</v>
      </c>
      <c r="L25" s="97">
        <v>6690</v>
      </c>
      <c r="M25" s="44"/>
      <c r="N25" s="44">
        <f>((HearingAids7[[#This Row],[haNetPriceBinural]]-HearingAids7[[#This Row],[chargerPrice]])/2)-HearingAids7[[#This Row],[haNetPriceBinural2]]</f>
        <v>3182.5</v>
      </c>
      <c r="O25" s="44">
        <f>HearingAids7[[#This Row],[haNetPrice]]-HearingAids7[[#This Row],[Discount Amount 3]]</f>
        <v>0</v>
      </c>
      <c r="P25" s="44"/>
      <c r="Q25" s="45">
        <v>1</v>
      </c>
      <c r="R25" s="45" t="s">
        <v>52</v>
      </c>
      <c r="S25" s="45">
        <v>325</v>
      </c>
      <c r="T25" s="47" t="s">
        <v>55</v>
      </c>
      <c r="U25" s="47">
        <v>0</v>
      </c>
      <c r="V25" s="47" t="s">
        <v>56</v>
      </c>
      <c r="Y25" s="15"/>
      <c r="Z25" s="15"/>
      <c r="AA25" s="15"/>
      <c r="AB25"/>
      <c r="AC25"/>
      <c r="AD25"/>
      <c r="AE25"/>
    </row>
    <row r="26" spans="1:31" ht="15">
      <c r="A26" s="41" t="s">
        <v>53</v>
      </c>
      <c r="B26" s="88" t="s">
        <v>54</v>
      </c>
      <c r="C26" s="42">
        <f>(HearingAids7[[#This Row],[haMSRP]]*2)+HearingAids7[[#This Row],[chargerPrice]]</f>
        <v>12203</v>
      </c>
      <c r="D26" s="97">
        <v>5939</v>
      </c>
      <c r="E26" s="44" t="s">
        <v>10</v>
      </c>
      <c r="F26" s="43">
        <f>HearingAids7[[#This Row],[haMSRP]]-((HearingAids7[[#This Row],[ListPriceBinural]]-HearingAids7[[#This Row],[chargerPrice]])/2)</f>
        <v>1276.5</v>
      </c>
      <c r="G26" s="43">
        <f>HearingAids7[[#This Row],[haMSRP]]-HearingAids7[[#This Row],[Discount Amount 1]]</f>
        <v>4662.5</v>
      </c>
      <c r="H26" s="97">
        <v>9650</v>
      </c>
      <c r="I26" s="75" t="s">
        <v>77</v>
      </c>
      <c r="J26" s="44">
        <f>(HearingAids7[[#This Row],[haMSRP]]-HearingAids7[[#This Row],[Discount Amount 1]])-(HearingAids7[[#This Row],[haNetPriceBinural]]-HearingAids7[[#This Row],[chargerPrice]])/2</f>
        <v>1480</v>
      </c>
      <c r="K26" s="44">
        <f>HearingAids7[[#This Row],[HAListPrice]]-HearingAids7[[#This Row],[Discount Amount 2]]</f>
        <v>3182.5</v>
      </c>
      <c r="L26" s="97">
        <v>6690</v>
      </c>
      <c r="M26" s="44"/>
      <c r="N26" s="44">
        <f>((HearingAids7[[#This Row],[haNetPriceBinural]]-HearingAids7[[#This Row],[chargerPrice]])/2)-HearingAids7[[#This Row],[haNetPriceBinural2]]</f>
        <v>3182.5</v>
      </c>
      <c r="O26" s="44">
        <f>HearingAids7[[#This Row],[haNetPrice]]-HearingAids7[[#This Row],[Discount Amount 3]]</f>
        <v>0</v>
      </c>
      <c r="P26" s="44"/>
      <c r="Q26" s="45">
        <v>1</v>
      </c>
      <c r="R26" s="45" t="s">
        <v>52</v>
      </c>
      <c r="S26" s="45">
        <v>325</v>
      </c>
      <c r="T26" s="47" t="s">
        <v>55</v>
      </c>
      <c r="U26" s="47">
        <v>0</v>
      </c>
      <c r="V26" s="47" t="s">
        <v>56</v>
      </c>
      <c r="Y26" s="15"/>
      <c r="Z26" s="15"/>
      <c r="AA26" s="15"/>
      <c r="AB26"/>
      <c r="AC26"/>
      <c r="AD26"/>
      <c r="AE26"/>
    </row>
    <row r="27" spans="1:31" ht="15">
      <c r="A27" s="41" t="s">
        <v>53</v>
      </c>
      <c r="B27" s="88" t="s">
        <v>54</v>
      </c>
      <c r="C27" s="42">
        <f>(HearingAids7[[#This Row],[haMSRP]]*2)+HearingAids7[[#This Row],[chargerPrice]]</f>
        <v>12203</v>
      </c>
      <c r="D27" s="97">
        <v>5939</v>
      </c>
      <c r="E27" s="44" t="s">
        <v>10</v>
      </c>
      <c r="F27" s="43">
        <f>HearingAids7[[#This Row],[haMSRP]]-((HearingAids7[[#This Row],[ListPriceBinural]]-HearingAids7[[#This Row],[chargerPrice]])/2)</f>
        <v>1276.5</v>
      </c>
      <c r="G27" s="43">
        <f>HearingAids7[[#This Row],[haMSRP]]-HearingAids7[[#This Row],[Discount Amount 1]]</f>
        <v>4662.5</v>
      </c>
      <c r="H27" s="97">
        <v>9650</v>
      </c>
      <c r="I27" s="75" t="s">
        <v>78</v>
      </c>
      <c r="J27" s="44">
        <f>(HearingAids7[[#This Row],[haMSRP]]-HearingAids7[[#This Row],[Discount Amount 1]])-(HearingAids7[[#This Row],[haNetPriceBinural]]-HearingAids7[[#This Row],[chargerPrice]])/2</f>
        <v>1480</v>
      </c>
      <c r="K27" s="44">
        <f>HearingAids7[[#This Row],[HAListPrice]]-HearingAids7[[#This Row],[Discount Amount 2]]</f>
        <v>3182.5</v>
      </c>
      <c r="L27" s="97">
        <v>6690</v>
      </c>
      <c r="M27" s="44"/>
      <c r="N27" s="44">
        <f>((HearingAids7[[#This Row],[haNetPriceBinural]]-HearingAids7[[#This Row],[chargerPrice]])/2)-HearingAids7[[#This Row],[haNetPriceBinural2]]</f>
        <v>3182.5</v>
      </c>
      <c r="O27" s="44">
        <f>HearingAids7[[#This Row],[haNetPrice]]-HearingAids7[[#This Row],[Discount Amount 3]]</f>
        <v>0</v>
      </c>
      <c r="P27" s="44"/>
      <c r="Q27" s="45">
        <v>1</v>
      </c>
      <c r="R27" s="45" t="s">
        <v>52</v>
      </c>
      <c r="S27" s="45">
        <v>325</v>
      </c>
      <c r="T27" s="47" t="s">
        <v>55</v>
      </c>
      <c r="U27" s="47">
        <v>0</v>
      </c>
      <c r="V27" s="47" t="s">
        <v>56</v>
      </c>
      <c r="Y27" s="15"/>
      <c r="Z27" s="15"/>
      <c r="AA27" s="15"/>
      <c r="AB27"/>
      <c r="AC27"/>
      <c r="AD27"/>
      <c r="AE27"/>
    </row>
    <row r="28" spans="1:31" ht="15">
      <c r="A28" s="41" t="s">
        <v>53</v>
      </c>
      <c r="B28" s="41" t="s">
        <v>54</v>
      </c>
      <c r="C28" s="42">
        <f>(HearingAids7[[#This Row],[haMSRP]]*2)+HearingAids7[[#This Row],[chargerPrice]]</f>
        <v>12203</v>
      </c>
      <c r="D28" s="97">
        <v>5939</v>
      </c>
      <c r="E28" s="44" t="s">
        <v>10</v>
      </c>
      <c r="F28" s="43">
        <f>HearingAids7[[#This Row],[haMSRP]]-((HearingAids7[[#This Row],[ListPriceBinural]]-HearingAids7[[#This Row],[chargerPrice]])/2)</f>
        <v>1276.5</v>
      </c>
      <c r="G28" s="43">
        <f>HearingAids7[[#This Row],[haMSRP]]-HearingAids7[[#This Row],[Discount Amount 1]]</f>
        <v>4662.5</v>
      </c>
      <c r="H28" s="97">
        <v>9650</v>
      </c>
      <c r="I28" s="75" t="s">
        <v>81</v>
      </c>
      <c r="J28" s="44">
        <f>(HearingAids7[[#This Row],[haMSRP]]-HearingAids7[[#This Row],[Discount Amount 1]])-(HearingAids7[[#This Row],[haNetPriceBinural]]-HearingAids7[[#This Row],[chargerPrice]])/2</f>
        <v>1480</v>
      </c>
      <c r="K28" s="44">
        <f>HearingAids7[[#This Row],[HAListPrice]]-HearingAids7[[#This Row],[Discount Amount 2]]</f>
        <v>3182.5</v>
      </c>
      <c r="L28" s="97">
        <v>6690</v>
      </c>
      <c r="M28" s="44"/>
      <c r="N28" s="44"/>
      <c r="O28" s="44">
        <f>HearingAids7[[#This Row],[haNetPrice]]-HearingAids7[[#This Row],[Discount Amount 3]]</f>
        <v>3182.5</v>
      </c>
      <c r="P28" s="44"/>
      <c r="Q28" s="45">
        <v>1</v>
      </c>
      <c r="R28" s="45" t="s">
        <v>52</v>
      </c>
      <c r="S28" s="45">
        <v>325</v>
      </c>
      <c r="T28" s="47" t="s">
        <v>55</v>
      </c>
      <c r="U28" s="47">
        <v>0</v>
      </c>
      <c r="V28" s="47" t="s">
        <v>56</v>
      </c>
      <c r="Y28" s="15"/>
      <c r="Z28" s="15"/>
      <c r="AA28" s="15"/>
      <c r="AB28"/>
      <c r="AC28"/>
      <c r="AD28"/>
      <c r="AE28"/>
    </row>
    <row r="29" spans="1:31" ht="15">
      <c r="A29" s="41" t="s">
        <v>53</v>
      </c>
      <c r="B29" s="88" t="s">
        <v>54</v>
      </c>
      <c r="C29" s="42">
        <f>(HearingAids7[[#This Row],[haMSRP]]*2)+HearingAids7[[#This Row],[chargerPrice]]</f>
        <v>12203</v>
      </c>
      <c r="D29" s="97">
        <v>5939</v>
      </c>
      <c r="E29" s="44" t="s">
        <v>10</v>
      </c>
      <c r="F29" s="43">
        <f>HearingAids7[[#This Row],[haMSRP]]-((HearingAids7[[#This Row],[ListPriceBinural]]-HearingAids7[[#This Row],[chargerPrice]])/2)</f>
        <v>1276.5</v>
      </c>
      <c r="G29" s="43">
        <f>HearingAids7[[#This Row],[haMSRP]]-HearingAids7[[#This Row],[Discount Amount 1]]</f>
        <v>4662.5</v>
      </c>
      <c r="H29" s="97">
        <v>9650</v>
      </c>
      <c r="I29" s="75" t="s">
        <v>82</v>
      </c>
      <c r="J29" s="44">
        <f>(HearingAids7[[#This Row],[haMSRP]]-HearingAids7[[#This Row],[Discount Amount 1]])-(HearingAids7[[#This Row],[haNetPriceBinural]]-HearingAids7[[#This Row],[chargerPrice]])/2</f>
        <v>1480</v>
      </c>
      <c r="K29" s="44">
        <f>HearingAids7[[#This Row],[HAListPrice]]-HearingAids7[[#This Row],[Discount Amount 2]]</f>
        <v>3182.5</v>
      </c>
      <c r="L29" s="97">
        <v>6690</v>
      </c>
      <c r="M29" s="44"/>
      <c r="N29" s="44"/>
      <c r="O29" s="44">
        <f>HearingAids7[[#This Row],[haNetPrice]]-HearingAids7[[#This Row],[Discount Amount 3]]</f>
        <v>3182.5</v>
      </c>
      <c r="P29" s="44"/>
      <c r="Q29" s="45">
        <v>1</v>
      </c>
      <c r="R29" s="45" t="s">
        <v>52</v>
      </c>
      <c r="S29" s="45">
        <v>325</v>
      </c>
      <c r="T29" s="47" t="s">
        <v>55</v>
      </c>
      <c r="U29" s="47">
        <v>0</v>
      </c>
      <c r="V29" s="47" t="s">
        <v>56</v>
      </c>
      <c r="Y29" s="15"/>
      <c r="Z29" s="15"/>
      <c r="AA29" s="15"/>
      <c r="AB29"/>
      <c r="AC29"/>
      <c r="AD29"/>
      <c r="AE29"/>
    </row>
    <row r="30" spans="1:31" ht="15">
      <c r="A30" s="41" t="s">
        <v>53</v>
      </c>
      <c r="B30" s="41" t="s">
        <v>54</v>
      </c>
      <c r="C30" s="42">
        <f>(HearingAids7[[#This Row],[haMSRP]]*2)+HearingAids7[[#This Row],[chargerPrice]]</f>
        <v>12203</v>
      </c>
      <c r="D30" s="97">
        <v>5939</v>
      </c>
      <c r="E30" s="44" t="s">
        <v>10</v>
      </c>
      <c r="F30" s="43">
        <f>HearingAids7[[#This Row],[haMSRP]]-((HearingAids7[[#This Row],[ListPriceBinural]]-HearingAids7[[#This Row],[chargerPrice]])/2)</f>
        <v>1276.5</v>
      </c>
      <c r="G30" s="43">
        <f>HearingAids7[[#This Row],[haMSRP]]-HearingAids7[[#This Row],[Discount Amount 1]]</f>
        <v>4662.5</v>
      </c>
      <c r="H30" s="97">
        <v>9650</v>
      </c>
      <c r="I30" s="75" t="s">
        <v>85</v>
      </c>
      <c r="J30" s="44">
        <f>(HearingAids7[[#This Row],[haMSRP]]-HearingAids7[[#This Row],[Discount Amount 1]])-(HearingAids7[[#This Row],[haNetPriceBinural]]-HearingAids7[[#This Row],[chargerPrice]])/2</f>
        <v>1480</v>
      </c>
      <c r="K30" s="44">
        <f>HearingAids7[[#This Row],[HAListPrice]]-HearingAids7[[#This Row],[Discount Amount 2]]</f>
        <v>3182.5</v>
      </c>
      <c r="L30" s="97">
        <v>6690</v>
      </c>
      <c r="M30" s="44"/>
      <c r="N30" s="44"/>
      <c r="O30" s="44">
        <f>HearingAids7[[#This Row],[haNetPrice]]-HearingAids7[[#This Row],[Discount Amount 3]]</f>
        <v>3182.5</v>
      </c>
      <c r="P30" s="44"/>
      <c r="Q30" s="45">
        <v>1</v>
      </c>
      <c r="R30" s="45" t="s">
        <v>52</v>
      </c>
      <c r="S30" s="45">
        <v>325</v>
      </c>
      <c r="T30" s="47" t="s">
        <v>55</v>
      </c>
      <c r="U30" s="47">
        <v>0</v>
      </c>
      <c r="V30" s="47" t="s">
        <v>56</v>
      </c>
      <c r="W30" s="44"/>
      <c r="Y30" s="15"/>
      <c r="Z30" s="15"/>
      <c r="AA30" s="15"/>
      <c r="AB30"/>
      <c r="AC30"/>
      <c r="AD30"/>
      <c r="AE30"/>
    </row>
    <row r="31" spans="1:31" ht="15">
      <c r="A31" s="41" t="s">
        <v>53</v>
      </c>
      <c r="B31" s="88" t="s">
        <v>54</v>
      </c>
      <c r="C31" s="42">
        <f>(HearingAids7[[#This Row],[haMSRP]]*2)+HearingAids7[[#This Row],[chargerPrice]]</f>
        <v>12203</v>
      </c>
      <c r="D31" s="97">
        <v>5939</v>
      </c>
      <c r="E31" s="44" t="s">
        <v>10</v>
      </c>
      <c r="F31" s="43">
        <f>HearingAids7[[#This Row],[haMSRP]]-((HearingAids7[[#This Row],[ListPriceBinural]]-HearingAids7[[#This Row],[chargerPrice]])/2)</f>
        <v>1276.5</v>
      </c>
      <c r="G31" s="43">
        <f>HearingAids7[[#This Row],[haMSRP]]-HearingAids7[[#This Row],[Discount Amount 1]]</f>
        <v>4662.5</v>
      </c>
      <c r="H31" s="97">
        <v>9650</v>
      </c>
      <c r="I31" s="75" t="s">
        <v>86</v>
      </c>
      <c r="J31" s="44">
        <f>(HearingAids7[[#This Row],[haMSRP]]-HearingAids7[[#This Row],[Discount Amount 1]])-(HearingAids7[[#This Row],[haNetPriceBinural]]-HearingAids7[[#This Row],[chargerPrice]])/2</f>
        <v>1480</v>
      </c>
      <c r="K31" s="44">
        <f>HearingAids7[[#This Row],[HAListPrice]]-HearingAids7[[#This Row],[Discount Amount 2]]</f>
        <v>3182.5</v>
      </c>
      <c r="L31" s="97">
        <v>6690</v>
      </c>
      <c r="M31" s="44"/>
      <c r="N31" s="44"/>
      <c r="O31" s="44">
        <f>HearingAids7[[#This Row],[haNetPrice]]-HearingAids7[[#This Row],[Discount Amount 3]]</f>
        <v>3182.5</v>
      </c>
      <c r="P31" s="44"/>
      <c r="Q31" s="45">
        <v>1</v>
      </c>
      <c r="R31" s="45" t="s">
        <v>52</v>
      </c>
      <c r="S31" s="45">
        <v>325</v>
      </c>
      <c r="T31" s="47" t="s">
        <v>55</v>
      </c>
      <c r="U31" s="47">
        <v>0</v>
      </c>
      <c r="V31" s="47" t="s">
        <v>56</v>
      </c>
      <c r="W31" s="44"/>
      <c r="Y31" s="15"/>
      <c r="Z31" s="15"/>
      <c r="AA31" s="15"/>
      <c r="AB31"/>
      <c r="AC31"/>
      <c r="AD31"/>
      <c r="AE31"/>
    </row>
    <row r="32" spans="1:31" ht="15">
      <c r="A32" s="41" t="s">
        <v>53</v>
      </c>
      <c r="B32" s="41" t="s">
        <v>54</v>
      </c>
      <c r="C32" s="42">
        <f>(HearingAids7[[#This Row],[haMSRP]]*2)+HearingAids7[[#This Row],[chargerPrice]]</f>
        <v>12203</v>
      </c>
      <c r="D32" s="97">
        <v>5939</v>
      </c>
      <c r="E32" s="44" t="s">
        <v>10</v>
      </c>
      <c r="F32" s="43">
        <f>HearingAids7[[#This Row],[haMSRP]]-((HearingAids7[[#This Row],[ListPriceBinural]]-HearingAids7[[#This Row],[chargerPrice]])/2)</f>
        <v>1276.5</v>
      </c>
      <c r="G32" s="43">
        <f>HearingAids7[[#This Row],[haMSRP]]-HearingAids7[[#This Row],[Discount Amount 1]]</f>
        <v>4662.5</v>
      </c>
      <c r="H32" s="97">
        <v>9650</v>
      </c>
      <c r="I32" s="75" t="s">
        <v>88</v>
      </c>
      <c r="J32" s="44">
        <f>(HearingAids7[[#This Row],[haMSRP]]-HearingAids7[[#This Row],[Discount Amount 1]])-(HearingAids7[[#This Row],[haNetPriceBinural]]-HearingAids7[[#This Row],[chargerPrice]])/2</f>
        <v>1480</v>
      </c>
      <c r="K32" s="44">
        <f>HearingAids7[[#This Row],[HAListPrice]]-HearingAids7[[#This Row],[Discount Amount 2]]</f>
        <v>3182.5</v>
      </c>
      <c r="L32" s="97">
        <v>6690</v>
      </c>
      <c r="M32" s="44"/>
      <c r="N32" s="44"/>
      <c r="O32" s="44">
        <f>HearingAids7[[#This Row],[haNetPrice]]-HearingAids7[[#This Row],[Discount Amount 3]]</f>
        <v>3182.5</v>
      </c>
      <c r="P32" s="44"/>
      <c r="Q32" s="45">
        <v>1</v>
      </c>
      <c r="R32" s="45" t="s">
        <v>52</v>
      </c>
      <c r="S32" s="45">
        <v>325</v>
      </c>
      <c r="T32" s="47" t="s">
        <v>55</v>
      </c>
      <c r="U32" s="47">
        <v>0</v>
      </c>
      <c r="V32" s="47" t="s">
        <v>56</v>
      </c>
      <c r="W32" s="44"/>
      <c r="Y32" s="15"/>
      <c r="Z32" s="15"/>
      <c r="AA32" s="15"/>
      <c r="AB32"/>
      <c r="AC32"/>
      <c r="AD32"/>
      <c r="AE32"/>
    </row>
    <row r="33" spans="1:32" ht="15">
      <c r="A33" s="41" t="s">
        <v>53</v>
      </c>
      <c r="B33" s="41" t="s">
        <v>54</v>
      </c>
      <c r="C33" s="42">
        <f>(HearingAids7[[#This Row],[haMSRP]]*2)+HearingAids7[[#This Row],[chargerPrice]]</f>
        <v>12203</v>
      </c>
      <c r="D33" s="97">
        <v>5939</v>
      </c>
      <c r="E33" s="43" t="s">
        <v>10</v>
      </c>
      <c r="F33" s="43">
        <f>HearingAids7[[#This Row],[haMSRP]]-((HearingAids7[[#This Row],[ListPriceBinural]]-HearingAids7[[#This Row],[chargerPrice]])/2)</f>
        <v>1276.5</v>
      </c>
      <c r="G33" s="43">
        <f>HearingAids7[[#This Row],[haMSRP]]-HearingAids7[[#This Row],[Discount Amount 1]]</f>
        <v>4662.5</v>
      </c>
      <c r="H33" s="97">
        <v>9650</v>
      </c>
      <c r="I33" s="53" t="s">
        <v>45</v>
      </c>
      <c r="J33" s="44">
        <v>0</v>
      </c>
      <c r="K33" s="44">
        <f>HearingAids7[[#This Row],[HAListPrice]]-HearingAids7[[#This Row],[Discount Amount 2]]</f>
        <v>4662.5</v>
      </c>
      <c r="L33" s="97"/>
      <c r="M33" s="44"/>
      <c r="N33" s="44"/>
      <c r="O33" s="44"/>
      <c r="P33" s="44"/>
      <c r="Q33" s="45">
        <v>1</v>
      </c>
      <c r="R33" s="44" t="s">
        <v>52</v>
      </c>
      <c r="S33" s="44">
        <v>325</v>
      </c>
      <c r="T33" s="46" t="s">
        <v>55</v>
      </c>
      <c r="U33" s="47">
        <v>0</v>
      </c>
      <c r="V33" s="46" t="s">
        <v>56</v>
      </c>
      <c r="W33" s="44"/>
      <c r="Y33" s="15"/>
      <c r="Z33" s="15"/>
      <c r="AA33" s="15"/>
      <c r="AB33"/>
      <c r="AC33"/>
      <c r="AD33"/>
      <c r="AE33"/>
    </row>
    <row r="34" spans="1:32" ht="15">
      <c r="A34" s="41" t="s">
        <v>53</v>
      </c>
      <c r="B34" s="41" t="s">
        <v>54</v>
      </c>
      <c r="C34" s="42">
        <f>(HearingAids7[[#This Row],[haMSRP]]*2)+HearingAids7[[#This Row],[chargerPrice]]</f>
        <v>12203</v>
      </c>
      <c r="D34" s="97">
        <v>5939</v>
      </c>
      <c r="E34" s="43" t="s">
        <v>10</v>
      </c>
      <c r="F34" s="43">
        <f>HearingAids7[[#This Row],[haMSRP]]-((HearingAids7[[#This Row],[ListPriceBinural]]-HearingAids7[[#This Row],[chargerPrice]])/2)</f>
        <v>1276.5</v>
      </c>
      <c r="G34" s="43">
        <f>HearingAids7[[#This Row],[haMSRP]]-HearingAids7[[#This Row],[Discount Amount 1]]</f>
        <v>4662.5</v>
      </c>
      <c r="H34" s="97">
        <v>9650</v>
      </c>
      <c r="I34" s="53" t="s">
        <v>65</v>
      </c>
      <c r="J34" s="44">
        <f>(HearingAids7[[#This Row],[haMSRP]]-HearingAids7[[#This Row],[Discount Amount 1]])-(HearingAids7[[#This Row],[haNetPriceBinural]]-HearingAids7[[#This Row],[chargerPrice]])/2</f>
        <v>0</v>
      </c>
      <c r="K34" s="44">
        <f>HearingAids7[[#This Row],[HAListPrice]]-HearingAids7[[#This Row],[Discount Amount 2]]</f>
        <v>4662.5</v>
      </c>
      <c r="L34" s="97">
        <v>9650</v>
      </c>
      <c r="M34" s="44"/>
      <c r="N34" s="44"/>
      <c r="O34" s="44"/>
      <c r="P34" s="44"/>
      <c r="Q34" s="45">
        <v>1</v>
      </c>
      <c r="R34" s="44" t="s">
        <v>52</v>
      </c>
      <c r="S34" s="44">
        <v>325</v>
      </c>
      <c r="T34" s="6" t="s">
        <v>55</v>
      </c>
      <c r="U34" s="44">
        <v>0</v>
      </c>
      <c r="V34" s="49" t="s">
        <v>56</v>
      </c>
      <c r="W34" s="44"/>
      <c r="Y34" s="15"/>
      <c r="Z34" s="15"/>
      <c r="AA34" s="15"/>
      <c r="AB34"/>
      <c r="AC34"/>
      <c r="AD34"/>
      <c r="AE34"/>
    </row>
    <row r="35" spans="1:32" ht="15">
      <c r="A35" s="41" t="s">
        <v>53</v>
      </c>
      <c r="B35" s="41" t="s">
        <v>54</v>
      </c>
      <c r="C35" s="42">
        <f>(HearingAids7[[#This Row],[haMSRP]]*2)+HearingAids7[[#This Row],[chargerPrice]]</f>
        <v>12203</v>
      </c>
      <c r="D35" s="97">
        <v>5939</v>
      </c>
      <c r="E35" s="43" t="s">
        <v>10</v>
      </c>
      <c r="F35" s="43">
        <f>HearingAids7[[#This Row],[haMSRP]]-((HearingAids7[[#This Row],[ListPriceBinural]]-HearingAids7[[#This Row],[chargerPrice]])/2)</f>
        <v>1276.5</v>
      </c>
      <c r="G35" s="43">
        <f>HearingAids7[[#This Row],[haMSRP]]-HearingAids7[[#This Row],[Discount Amount 1]]</f>
        <v>4662.5</v>
      </c>
      <c r="H35" s="97">
        <v>9650</v>
      </c>
      <c r="I35" s="53" t="s">
        <v>72</v>
      </c>
      <c r="J35" s="44">
        <f>(HearingAids7[[#This Row],[haMSRP]]-HearingAids7[[#This Row],[Discount Amount 1]])-(HearingAids7[[#This Row],[haNetPriceBinural]]-HearingAids7[[#This Row],[chargerPrice]])/2</f>
        <v>1330</v>
      </c>
      <c r="K35" s="44">
        <f>HearingAids7[[#This Row],[HAListPrice]]-HearingAids7[[#This Row],[Discount Amount 2]]</f>
        <v>3332.5</v>
      </c>
      <c r="L35" s="97">
        <v>6990</v>
      </c>
      <c r="M35" s="44"/>
      <c r="N35" s="44"/>
      <c r="O35" s="44"/>
      <c r="P35" s="44"/>
      <c r="Q35" s="45">
        <v>1</v>
      </c>
      <c r="R35" s="44" t="s">
        <v>52</v>
      </c>
      <c r="S35" s="44">
        <v>325</v>
      </c>
      <c r="T35" s="46" t="s">
        <v>55</v>
      </c>
      <c r="U35" s="47">
        <v>0</v>
      </c>
      <c r="V35" s="46" t="s">
        <v>56</v>
      </c>
      <c r="W35" s="44"/>
      <c r="Y35" s="15"/>
      <c r="Z35" s="15"/>
      <c r="AA35" s="15"/>
      <c r="AB35"/>
      <c r="AC35"/>
      <c r="AD35"/>
      <c r="AE35"/>
    </row>
    <row r="36" spans="1:32" ht="15">
      <c r="A36" s="41" t="s">
        <v>53</v>
      </c>
      <c r="B36" s="41" t="s">
        <v>54</v>
      </c>
      <c r="C36" s="42">
        <f>(HearingAids7[[#This Row],[haMSRP]]*2)+HearingAids7[[#This Row],[chargerPrice]]</f>
        <v>12203</v>
      </c>
      <c r="D36" s="97">
        <v>5939</v>
      </c>
      <c r="E36" s="43" t="s">
        <v>10</v>
      </c>
      <c r="F36" s="43">
        <f>HearingAids7[[#This Row],[haMSRP]]-((HearingAids7[[#This Row],[ListPriceBinural]]-HearingAids7[[#This Row],[chargerPrice]])/2)</f>
        <v>1276.5</v>
      </c>
      <c r="G36" s="43">
        <f>HearingAids7[[#This Row],[haMSRP]]-HearingAids7[[#This Row],[Discount Amount 1]]</f>
        <v>4662.5</v>
      </c>
      <c r="H36" s="97">
        <v>9650</v>
      </c>
      <c r="I36" s="53" t="s">
        <v>75</v>
      </c>
      <c r="J36" s="44">
        <f>(HearingAids7[[#This Row],[haMSRP]]-HearingAids7[[#This Row],[Discount Amount 1]])-(HearingAids7[[#This Row],[haNetPriceBinural]]-HearingAids7[[#This Row],[chargerPrice]])/2</f>
        <v>100</v>
      </c>
      <c r="K36" s="44">
        <f>HearingAids7[[#This Row],[HAListPrice]]-HearingAids7[[#This Row],[Discount Amount 2]]</f>
        <v>4562.5</v>
      </c>
      <c r="L36" s="97">
        <v>9450</v>
      </c>
      <c r="M36" s="44"/>
      <c r="N36" s="44"/>
      <c r="O36" s="44"/>
      <c r="P36" s="44"/>
      <c r="Q36" s="45">
        <v>1</v>
      </c>
      <c r="R36" s="44" t="s">
        <v>52</v>
      </c>
      <c r="S36" s="44">
        <v>325</v>
      </c>
      <c r="T36" s="46" t="s">
        <v>55</v>
      </c>
      <c r="U36" s="47">
        <v>0</v>
      </c>
      <c r="V36" s="46" t="s">
        <v>56</v>
      </c>
      <c r="W36" s="44"/>
      <c r="Y36" s="15"/>
      <c r="Z36" s="15"/>
      <c r="AA36" s="15"/>
      <c r="AB36"/>
      <c r="AC36"/>
      <c r="AD36"/>
      <c r="AE36"/>
    </row>
    <row r="37" spans="1:32" ht="15">
      <c r="A37" s="41" t="s">
        <v>53</v>
      </c>
      <c r="B37" s="41" t="s">
        <v>54</v>
      </c>
      <c r="C37" s="42">
        <f>(HearingAids7[[#This Row],[haMSRP]]*2)+HearingAids7[[#This Row],[chargerPrice]]</f>
        <v>12203</v>
      </c>
      <c r="D37" s="97">
        <v>5939</v>
      </c>
      <c r="E37" s="43" t="s">
        <v>10</v>
      </c>
      <c r="F37" s="43">
        <f>HearingAids7[[#This Row],[haMSRP]]-((HearingAids7[[#This Row],[ListPriceBinural]]-HearingAids7[[#This Row],[chargerPrice]])/2)</f>
        <v>1276.5</v>
      </c>
      <c r="G37" s="43">
        <f>HearingAids7[[#This Row],[haMSRP]]-HearingAids7[[#This Row],[Discount Amount 1]]</f>
        <v>4662.5</v>
      </c>
      <c r="H37" s="97">
        <v>9650</v>
      </c>
      <c r="I37" s="53" t="s">
        <v>80</v>
      </c>
      <c r="J37" s="44">
        <f>(HearingAids7[[#This Row],[haMSRP]]-HearingAids7[[#This Row],[Discount Amount 1]])-(HearingAids7[[#This Row],[haNetPriceBinural]]-HearingAids7[[#This Row],[chargerPrice]])/2</f>
        <v>500</v>
      </c>
      <c r="K37" s="44">
        <f>HearingAids7[[#This Row],[HAListPrice]]-HearingAids7[[#This Row],[Discount Amount 2]]</f>
        <v>4162.5</v>
      </c>
      <c r="L37" s="97">
        <f>HearingAids7[[#This Row],[ListPriceBinural]]-1000</f>
        <v>8650</v>
      </c>
      <c r="M37" s="44"/>
      <c r="N37" s="44"/>
      <c r="O37" s="44"/>
      <c r="P37" s="44"/>
      <c r="Q37" s="45">
        <v>1</v>
      </c>
      <c r="R37" s="44" t="s">
        <v>52</v>
      </c>
      <c r="S37" s="44">
        <v>325</v>
      </c>
      <c r="T37" s="46" t="s">
        <v>55</v>
      </c>
      <c r="U37" s="47">
        <v>0</v>
      </c>
      <c r="V37" s="46" t="s">
        <v>56</v>
      </c>
      <c r="W37" s="44"/>
      <c r="Y37" s="15"/>
      <c r="Z37" s="15"/>
      <c r="AA37" s="15"/>
      <c r="AB37"/>
      <c r="AC37"/>
      <c r="AD37"/>
      <c r="AE37"/>
    </row>
    <row r="38" spans="1:32" ht="15">
      <c r="A38" s="41" t="s">
        <v>53</v>
      </c>
      <c r="B38" s="41" t="s">
        <v>54</v>
      </c>
      <c r="C38" s="42">
        <f>(HearingAids7[[#This Row],[haMSRP]]*2)+HearingAids7[[#This Row],[chargerPrice]]</f>
        <v>12203</v>
      </c>
      <c r="D38" s="97">
        <v>5939</v>
      </c>
      <c r="E38" s="44" t="s">
        <v>10</v>
      </c>
      <c r="F38" s="43">
        <f>HearingAids7[[#This Row],[haMSRP]]-((HearingAids7[[#This Row],[ListPriceBinural]]-HearingAids7[[#This Row],[chargerPrice]])/2)</f>
        <v>1276.5</v>
      </c>
      <c r="G38" s="43">
        <f>HearingAids7[[#This Row],[haMSRP]]-HearingAids7[[#This Row],[Discount Amount 1]]</f>
        <v>4662.5</v>
      </c>
      <c r="H38" s="97">
        <v>9650</v>
      </c>
      <c r="I38" s="53" t="s">
        <v>83</v>
      </c>
      <c r="J38" s="44">
        <f>((HearingAids7[[#This Row],[haMSRP]]-HearingAids7[[#This Row],[Discount Amount 1]])-(HearingAids7[[#This Row],[haNetPriceBinural]]-HearingAids7[[#This Row],[chargerPrice]])/2)</f>
        <v>1025</v>
      </c>
      <c r="K38" s="44">
        <f>HearingAids7[[#This Row],[HAListPrice]]-HearingAids7[[#This Row],[Discount Amount 2]]</f>
        <v>3637.5</v>
      </c>
      <c r="L38" s="97">
        <v>7600</v>
      </c>
      <c r="M38" s="53"/>
      <c r="N38" s="44"/>
      <c r="O38" s="99"/>
      <c r="P38" s="44"/>
      <c r="Q38" s="45">
        <v>1</v>
      </c>
      <c r="R38" s="44" t="s">
        <v>52</v>
      </c>
      <c r="S38" s="44">
        <v>325</v>
      </c>
      <c r="T38" s="93" t="s">
        <v>55</v>
      </c>
      <c r="U38" s="20">
        <v>0</v>
      </c>
      <c r="V38" s="95" t="s">
        <v>56</v>
      </c>
      <c r="W38" s="44"/>
      <c r="Y38" s="15"/>
      <c r="Z38" s="15"/>
      <c r="AA38" s="15"/>
      <c r="AB38" s="14"/>
      <c r="AD38" s="15"/>
      <c r="AE38" s="15"/>
      <c r="AF38" s="15"/>
    </row>
    <row r="39" spans="1:32" ht="15">
      <c r="A39" s="41" t="s">
        <v>50</v>
      </c>
      <c r="B39" s="41" t="s">
        <v>51</v>
      </c>
      <c r="C39" s="42">
        <f>(HearingAids7[[#This Row],[haMSRP]]*2)+HearingAids7[[#This Row],[chargerPrice]]</f>
        <v>6623</v>
      </c>
      <c r="D39" s="97">
        <v>3149</v>
      </c>
      <c r="E39" s="44" t="s">
        <v>10</v>
      </c>
      <c r="F39" s="43">
        <f>HearingAids7[[#This Row],[haMSRP]]-((HearingAids7[[#This Row],[ListPriceBinural]]-HearingAids7[[#This Row],[chargerPrice]])/2)</f>
        <v>636.5</v>
      </c>
      <c r="G39" s="43">
        <f>HearingAids7[[#This Row],[haMSRP]]-HearingAids7[[#This Row],[Discount Amount 1]]</f>
        <v>2512.5</v>
      </c>
      <c r="H39" s="97">
        <v>5350</v>
      </c>
      <c r="I39" s="53" t="s">
        <v>45</v>
      </c>
      <c r="J39" s="44">
        <v>0</v>
      </c>
      <c r="K39" s="44">
        <f>HearingAids7[[#This Row],[HAListPrice]]-HearingAids7[[#This Row],[Discount Amount 2]]</f>
        <v>2512.5</v>
      </c>
      <c r="L39" s="98">
        <f>HearingAids7[[#This Row],[ListPriceBinural]]</f>
        <v>5350</v>
      </c>
      <c r="M39" s="44"/>
      <c r="N39" s="44"/>
      <c r="O39" s="44"/>
      <c r="P39" s="44"/>
      <c r="Q39" s="45">
        <v>1</v>
      </c>
      <c r="R39" s="92" t="s">
        <v>52</v>
      </c>
      <c r="S39" s="71">
        <v>325</v>
      </c>
      <c r="T39" s="47" t="s">
        <v>55</v>
      </c>
      <c r="U39" s="47">
        <v>0</v>
      </c>
      <c r="V39" s="47" t="s">
        <v>56</v>
      </c>
      <c r="W39" s="44"/>
      <c r="Y39" s="15"/>
      <c r="Z39" s="15"/>
      <c r="AA39" s="15"/>
      <c r="AB39" s="14"/>
      <c r="AD39" s="15"/>
      <c r="AE39" s="15"/>
      <c r="AF39" s="15"/>
    </row>
    <row r="40" spans="1:32" ht="15">
      <c r="A40" s="41" t="s">
        <v>57</v>
      </c>
      <c r="B40" s="41" t="s">
        <v>58</v>
      </c>
      <c r="C40" s="42">
        <f>(HearingAids7[[#This Row],[haMSRP]]*2)+HearingAids7[[#This Row],[chargerPrice]]</f>
        <v>8003</v>
      </c>
      <c r="D40" s="97">
        <v>3839</v>
      </c>
      <c r="E40" s="44" t="s">
        <v>10</v>
      </c>
      <c r="F40" s="43">
        <f>HearingAids7[[#This Row],[haMSRP]]-((HearingAids7[[#This Row],[ListPriceBinural]]-HearingAids7[[#This Row],[chargerPrice]])/2)</f>
        <v>276.5</v>
      </c>
      <c r="G40" s="43">
        <f>HearingAids7[[#This Row],[haMSRP]]-HearingAids7[[#This Row],[Discount Amount 1]]</f>
        <v>3562.5</v>
      </c>
      <c r="H40" s="97">
        <v>7450</v>
      </c>
      <c r="I40" s="75" t="s">
        <v>64</v>
      </c>
      <c r="J40" s="44">
        <f>(HearingAids7[[#This Row],[haMSRP]]-HearingAids7[[#This Row],[Discount Amount 1]])-(HearingAids7[[#This Row],[haNetPriceBinural]]-HearingAids7[[#This Row],[chargerPrice]])/2</f>
        <v>1230</v>
      </c>
      <c r="K40" s="44">
        <f>HearingAids7[[#This Row],[HAListPrice]]-HearingAids7[[#This Row],[Discount Amount 2]]</f>
        <v>2332.5</v>
      </c>
      <c r="L40" s="97">
        <v>4990</v>
      </c>
      <c r="M40" s="44"/>
      <c r="N40" s="44">
        <f>((HearingAids7[[#This Row],[haNetPriceBinural]]-HearingAids7[[#This Row],[chargerPrice]])/2)-HearingAids7[[#This Row],[haNetPriceBinural2]]</f>
        <v>2332.5</v>
      </c>
      <c r="O40" s="44">
        <f>HearingAids7[[#This Row],[haNetPrice]]-HearingAids7[[#This Row],[Discount Amount 3]]</f>
        <v>0</v>
      </c>
      <c r="P40" s="44"/>
      <c r="Q40" s="45">
        <v>1</v>
      </c>
      <c r="R40" s="45" t="s">
        <v>52</v>
      </c>
      <c r="S40" s="45">
        <v>325</v>
      </c>
      <c r="T40" s="47" t="s">
        <v>55</v>
      </c>
      <c r="U40" s="47">
        <v>0</v>
      </c>
      <c r="V40" s="47" t="s">
        <v>56</v>
      </c>
      <c r="W40" s="4"/>
      <c r="Y40" s="15"/>
      <c r="Z40" s="15"/>
      <c r="AA40" s="15"/>
      <c r="AD40" s="15"/>
      <c r="AE40" s="15"/>
      <c r="AF40" s="15"/>
    </row>
    <row r="41" spans="1:32" ht="15">
      <c r="A41" s="41" t="s">
        <v>57</v>
      </c>
      <c r="B41" s="88" t="s">
        <v>58</v>
      </c>
      <c r="C41" s="42">
        <f>(HearingAids7[[#This Row],[haMSRP]]*2)+HearingAids7[[#This Row],[chargerPrice]]</f>
        <v>8003</v>
      </c>
      <c r="D41" s="97">
        <v>3839</v>
      </c>
      <c r="E41" s="44" t="s">
        <v>10</v>
      </c>
      <c r="F41" s="43">
        <f>HearingAids7[[#This Row],[haMSRP]]-((HearingAids7[[#This Row],[ListPriceBinural]]-HearingAids7[[#This Row],[chargerPrice]])/2)</f>
        <v>276.5</v>
      </c>
      <c r="G41" s="43">
        <f>HearingAids7[[#This Row],[haMSRP]]-HearingAids7[[#This Row],[Discount Amount 1]]</f>
        <v>3562.5</v>
      </c>
      <c r="H41" s="97">
        <v>7450</v>
      </c>
      <c r="I41" s="75" t="s">
        <v>76</v>
      </c>
      <c r="J41" s="44">
        <f>(HearingAids7[[#This Row],[haMSRP]]-HearingAids7[[#This Row],[Discount Amount 1]])-(HearingAids7[[#This Row],[haNetPriceBinural]]-HearingAids7[[#This Row],[chargerPrice]])/2</f>
        <v>1230</v>
      </c>
      <c r="K41" s="44">
        <f>HearingAids7[[#This Row],[HAListPrice]]-HearingAids7[[#This Row],[Discount Amount 2]]</f>
        <v>2332.5</v>
      </c>
      <c r="L41" s="97">
        <v>4990</v>
      </c>
      <c r="M41" s="44"/>
      <c r="N41" s="44">
        <f>((HearingAids7[[#This Row],[haNetPriceBinural]]-HearingAids7[[#This Row],[chargerPrice]])/2)-HearingAids7[[#This Row],[haNetPriceBinural2]]</f>
        <v>2332.5</v>
      </c>
      <c r="O41" s="44">
        <f>HearingAids7[[#This Row],[haNetPrice]]-HearingAids7[[#This Row],[Discount Amount 3]]</f>
        <v>0</v>
      </c>
      <c r="P41" s="44"/>
      <c r="Q41" s="45">
        <v>1</v>
      </c>
      <c r="R41" s="45" t="s">
        <v>52</v>
      </c>
      <c r="S41" s="45">
        <v>325</v>
      </c>
      <c r="T41" s="47" t="s">
        <v>55</v>
      </c>
      <c r="U41" s="47">
        <v>0</v>
      </c>
      <c r="V41" s="47" t="s">
        <v>56</v>
      </c>
      <c r="W41" s="4"/>
      <c r="Y41" s="15"/>
      <c r="Z41" s="15"/>
      <c r="AA41" s="15"/>
      <c r="AB41"/>
      <c r="AC41"/>
      <c r="AD41"/>
      <c r="AE41"/>
    </row>
    <row r="42" spans="1:32" ht="15">
      <c r="A42" s="41" t="s">
        <v>57</v>
      </c>
      <c r="B42" s="41" t="s">
        <v>58</v>
      </c>
      <c r="C42" s="42">
        <f>(HearingAids7[[#This Row],[haMSRP]]*2)+HearingAids7[[#This Row],[chargerPrice]]</f>
        <v>8003</v>
      </c>
      <c r="D42" s="97">
        <v>3839</v>
      </c>
      <c r="E42" s="44" t="s">
        <v>10</v>
      </c>
      <c r="F42" s="43">
        <f>HearingAids7[[#This Row],[haMSRP]]-((HearingAids7[[#This Row],[ListPriceBinural]]-HearingAids7[[#This Row],[chargerPrice]])/2)</f>
        <v>276.5</v>
      </c>
      <c r="G42" s="43">
        <f>HearingAids7[[#This Row],[haMSRP]]-HearingAids7[[#This Row],[Discount Amount 1]]</f>
        <v>3562.5</v>
      </c>
      <c r="H42" s="97">
        <v>7450</v>
      </c>
      <c r="I42" s="75" t="s">
        <v>77</v>
      </c>
      <c r="J42" s="44">
        <f>(HearingAids7[[#This Row],[haMSRP]]-HearingAids7[[#This Row],[Discount Amount 1]])-(HearingAids7[[#This Row],[haNetPriceBinural]]-HearingAids7[[#This Row],[chargerPrice]])/2</f>
        <v>1230</v>
      </c>
      <c r="K42" s="44">
        <f>HearingAids7[[#This Row],[HAListPrice]]-HearingAids7[[#This Row],[Discount Amount 2]]</f>
        <v>2332.5</v>
      </c>
      <c r="L42" s="97">
        <v>4990</v>
      </c>
      <c r="M42" s="44"/>
      <c r="N42" s="44">
        <f>((HearingAids7[[#This Row],[haNetPriceBinural]]-HearingAids7[[#This Row],[chargerPrice]])/2)-HearingAids7[[#This Row],[haNetPriceBinural2]]</f>
        <v>2332.5</v>
      </c>
      <c r="O42" s="44">
        <f>HearingAids7[[#This Row],[haNetPrice]]-HearingAids7[[#This Row],[Discount Amount 3]]</f>
        <v>0</v>
      </c>
      <c r="P42" s="44"/>
      <c r="Q42" s="45">
        <v>1</v>
      </c>
      <c r="R42" s="45" t="s">
        <v>52</v>
      </c>
      <c r="S42" s="45">
        <v>325</v>
      </c>
      <c r="T42" s="47" t="s">
        <v>55</v>
      </c>
      <c r="U42" s="47">
        <v>0</v>
      </c>
      <c r="V42" s="47" t="s">
        <v>56</v>
      </c>
      <c r="W42" s="4"/>
      <c r="Y42" s="15"/>
      <c r="Z42" s="15"/>
      <c r="AA42" s="15"/>
      <c r="AB42"/>
      <c r="AC42"/>
      <c r="AD42"/>
      <c r="AE42"/>
    </row>
    <row r="43" spans="1:32" ht="15">
      <c r="A43" s="41" t="s">
        <v>57</v>
      </c>
      <c r="B43" s="41" t="s">
        <v>58</v>
      </c>
      <c r="C43" s="42">
        <f>(HearingAids7[[#This Row],[haMSRP]]*2)+HearingAids7[[#This Row],[chargerPrice]]</f>
        <v>8003</v>
      </c>
      <c r="D43" s="97">
        <v>3839</v>
      </c>
      <c r="E43" s="44" t="s">
        <v>10</v>
      </c>
      <c r="F43" s="43">
        <f>HearingAids7[[#This Row],[haMSRP]]-((HearingAids7[[#This Row],[ListPriceBinural]]-HearingAids7[[#This Row],[chargerPrice]])/2)</f>
        <v>276.5</v>
      </c>
      <c r="G43" s="43">
        <f>HearingAids7[[#This Row],[haMSRP]]-HearingAids7[[#This Row],[Discount Amount 1]]</f>
        <v>3562.5</v>
      </c>
      <c r="H43" s="97">
        <v>7450</v>
      </c>
      <c r="I43" s="75" t="s">
        <v>78</v>
      </c>
      <c r="J43" s="44">
        <f>(HearingAids7[[#This Row],[haMSRP]]-HearingAids7[[#This Row],[Discount Amount 1]])-(HearingAids7[[#This Row],[haNetPriceBinural]]-HearingAids7[[#This Row],[chargerPrice]])/2</f>
        <v>1230</v>
      </c>
      <c r="K43" s="44">
        <f>HearingAids7[[#This Row],[HAListPrice]]-HearingAids7[[#This Row],[Discount Amount 2]]</f>
        <v>2332.5</v>
      </c>
      <c r="L43" s="97">
        <v>4990</v>
      </c>
      <c r="M43" s="44"/>
      <c r="N43" s="44">
        <f>((HearingAids7[[#This Row],[haNetPriceBinural]]-HearingAids7[[#This Row],[chargerPrice]])/2)-HearingAids7[[#This Row],[haNetPriceBinural2]]</f>
        <v>2332.5</v>
      </c>
      <c r="O43" s="44">
        <f>HearingAids7[[#This Row],[haNetPrice]]-HearingAids7[[#This Row],[Discount Amount 3]]</f>
        <v>0</v>
      </c>
      <c r="P43" s="44"/>
      <c r="Q43" s="45">
        <v>1</v>
      </c>
      <c r="R43" s="45" t="s">
        <v>52</v>
      </c>
      <c r="S43" s="45">
        <v>325</v>
      </c>
      <c r="T43" s="47" t="s">
        <v>55</v>
      </c>
      <c r="U43" s="47">
        <v>0</v>
      </c>
      <c r="V43" s="47" t="s">
        <v>56</v>
      </c>
      <c r="W43" s="4"/>
      <c r="Y43" s="15"/>
      <c r="Z43" s="15"/>
      <c r="AA43" s="15"/>
      <c r="AB43"/>
      <c r="AC43"/>
      <c r="AD43"/>
      <c r="AE43"/>
    </row>
    <row r="44" spans="1:32" ht="15">
      <c r="A44" s="41" t="s">
        <v>57</v>
      </c>
      <c r="B44" s="88" t="s">
        <v>58</v>
      </c>
      <c r="C44" s="42">
        <f>(HearingAids7[[#This Row],[haMSRP]]*2)+HearingAids7[[#This Row],[chargerPrice]]</f>
        <v>8003</v>
      </c>
      <c r="D44" s="97">
        <v>3839</v>
      </c>
      <c r="E44" s="44" t="s">
        <v>10</v>
      </c>
      <c r="F44" s="43">
        <f>HearingAids7[[#This Row],[haMSRP]]-((HearingAids7[[#This Row],[ListPriceBinural]]-HearingAids7[[#This Row],[chargerPrice]])/2)</f>
        <v>276.5</v>
      </c>
      <c r="G44" s="43">
        <f>HearingAids7[[#This Row],[haMSRP]]-HearingAids7[[#This Row],[Discount Amount 1]]</f>
        <v>3562.5</v>
      </c>
      <c r="H44" s="97">
        <v>7450</v>
      </c>
      <c r="I44" s="75" t="s">
        <v>81</v>
      </c>
      <c r="J44" s="44">
        <f>(HearingAids7[[#This Row],[haMSRP]]-HearingAids7[[#This Row],[Discount Amount 1]])-(HearingAids7[[#This Row],[haNetPriceBinural]]-HearingAids7[[#This Row],[chargerPrice]])/2</f>
        <v>1230</v>
      </c>
      <c r="K44" s="44">
        <f>HearingAids7[[#This Row],[HAListPrice]]-HearingAids7[[#This Row],[Discount Amount 2]]</f>
        <v>2332.5</v>
      </c>
      <c r="L44" s="97">
        <v>4990</v>
      </c>
      <c r="M44" s="44"/>
      <c r="N44" s="44"/>
      <c r="O44" s="44">
        <f>HearingAids7[[#This Row],[haNetPrice]]-HearingAids7[[#This Row],[Discount Amount 3]]</f>
        <v>2332.5</v>
      </c>
      <c r="P44" s="44"/>
      <c r="Q44" s="45">
        <v>1</v>
      </c>
      <c r="R44" s="45" t="s">
        <v>52</v>
      </c>
      <c r="S44" s="45">
        <v>325</v>
      </c>
      <c r="T44" s="47" t="s">
        <v>55</v>
      </c>
      <c r="U44" s="47">
        <v>0</v>
      </c>
      <c r="V44" s="47" t="s">
        <v>56</v>
      </c>
      <c r="W44" s="4"/>
      <c r="Y44" s="15"/>
      <c r="Z44" s="15"/>
      <c r="AA44" s="15"/>
      <c r="AB44"/>
      <c r="AC44"/>
      <c r="AD44"/>
      <c r="AE44"/>
    </row>
    <row r="45" spans="1:32" ht="15">
      <c r="A45" s="41" t="s">
        <v>57</v>
      </c>
      <c r="B45" s="41" t="s">
        <v>58</v>
      </c>
      <c r="C45" s="42">
        <f>(HearingAids7[[#This Row],[haMSRP]]*2)+HearingAids7[[#This Row],[chargerPrice]]</f>
        <v>8003</v>
      </c>
      <c r="D45" s="97">
        <v>3839</v>
      </c>
      <c r="E45" s="44" t="s">
        <v>10</v>
      </c>
      <c r="F45" s="43">
        <f>HearingAids7[[#This Row],[haMSRP]]-((HearingAids7[[#This Row],[ListPriceBinural]]-HearingAids7[[#This Row],[chargerPrice]])/2)</f>
        <v>276.5</v>
      </c>
      <c r="G45" s="43">
        <f>HearingAids7[[#This Row],[haMSRP]]-HearingAids7[[#This Row],[Discount Amount 1]]</f>
        <v>3562.5</v>
      </c>
      <c r="H45" s="97">
        <v>7450</v>
      </c>
      <c r="I45" s="75" t="s">
        <v>82</v>
      </c>
      <c r="J45" s="44">
        <f>(HearingAids7[[#This Row],[haMSRP]]-HearingAids7[[#This Row],[Discount Amount 1]])-(HearingAids7[[#This Row],[haNetPriceBinural]]-HearingAids7[[#This Row],[chargerPrice]])/2</f>
        <v>1230</v>
      </c>
      <c r="K45" s="44">
        <f>HearingAids7[[#This Row],[HAListPrice]]-HearingAids7[[#This Row],[Discount Amount 2]]</f>
        <v>2332.5</v>
      </c>
      <c r="L45" s="97">
        <v>4990</v>
      </c>
      <c r="M45" s="44"/>
      <c r="N45" s="44"/>
      <c r="O45" s="44">
        <f>HearingAids7[[#This Row],[haNetPrice]]-HearingAids7[[#This Row],[Discount Amount 3]]</f>
        <v>2332.5</v>
      </c>
      <c r="P45" s="44"/>
      <c r="Q45" s="45">
        <v>1</v>
      </c>
      <c r="R45" s="45" t="s">
        <v>52</v>
      </c>
      <c r="S45" s="45">
        <v>325</v>
      </c>
      <c r="T45" s="47" t="s">
        <v>55</v>
      </c>
      <c r="U45" s="47">
        <v>0</v>
      </c>
      <c r="V45" s="47" t="s">
        <v>56</v>
      </c>
      <c r="W45" s="4"/>
      <c r="Y45" s="15"/>
      <c r="Z45" s="15"/>
      <c r="AA45" s="15"/>
      <c r="AB45"/>
      <c r="AC45"/>
      <c r="AD45"/>
      <c r="AE45"/>
    </row>
    <row r="46" spans="1:32" ht="15">
      <c r="A46" s="41" t="s">
        <v>57</v>
      </c>
      <c r="B46" s="88" t="s">
        <v>58</v>
      </c>
      <c r="C46" s="42">
        <f>(HearingAids7[[#This Row],[haMSRP]]*2)+HearingAids7[[#This Row],[chargerPrice]]</f>
        <v>8003</v>
      </c>
      <c r="D46" s="97">
        <v>3839</v>
      </c>
      <c r="E46" s="44" t="s">
        <v>10</v>
      </c>
      <c r="F46" s="43">
        <f>HearingAids7[[#This Row],[haMSRP]]-((HearingAids7[[#This Row],[ListPriceBinural]]-HearingAids7[[#This Row],[chargerPrice]])/2)</f>
        <v>276.5</v>
      </c>
      <c r="G46" s="43">
        <f>HearingAids7[[#This Row],[haMSRP]]-HearingAids7[[#This Row],[Discount Amount 1]]</f>
        <v>3562.5</v>
      </c>
      <c r="H46" s="97">
        <v>7450</v>
      </c>
      <c r="I46" s="75" t="s">
        <v>85</v>
      </c>
      <c r="J46" s="44">
        <f>(HearingAids7[[#This Row],[haMSRP]]-HearingAids7[[#This Row],[Discount Amount 1]])-(HearingAids7[[#This Row],[haNetPriceBinural]]-HearingAids7[[#This Row],[chargerPrice]])/2</f>
        <v>1230</v>
      </c>
      <c r="K46" s="44">
        <f>HearingAids7[[#This Row],[HAListPrice]]-HearingAids7[[#This Row],[Discount Amount 2]]</f>
        <v>2332.5</v>
      </c>
      <c r="L46" s="97">
        <v>4990</v>
      </c>
      <c r="M46" s="44"/>
      <c r="N46" s="44"/>
      <c r="O46" s="44">
        <f>HearingAids7[[#This Row],[haNetPrice]]-HearingAids7[[#This Row],[Discount Amount 3]]</f>
        <v>2332.5</v>
      </c>
      <c r="P46" s="44"/>
      <c r="Q46" s="45">
        <v>1</v>
      </c>
      <c r="R46" s="45" t="s">
        <v>52</v>
      </c>
      <c r="S46" s="45">
        <v>325</v>
      </c>
      <c r="T46" s="47" t="s">
        <v>55</v>
      </c>
      <c r="U46" s="47">
        <v>0</v>
      </c>
      <c r="V46" s="47" t="s">
        <v>56</v>
      </c>
      <c r="W46" s="4"/>
      <c r="Y46" s="15"/>
      <c r="Z46" s="15"/>
      <c r="AA46" s="15"/>
      <c r="AB46"/>
      <c r="AC46"/>
      <c r="AD46"/>
      <c r="AE46"/>
    </row>
    <row r="47" spans="1:32" ht="15">
      <c r="A47" s="41" t="s">
        <v>57</v>
      </c>
      <c r="B47" s="41" t="s">
        <v>58</v>
      </c>
      <c r="C47" s="42">
        <f>(HearingAids7[[#This Row],[haMSRP]]*2)+HearingAids7[[#This Row],[chargerPrice]]</f>
        <v>8003</v>
      </c>
      <c r="D47" s="97">
        <v>3839</v>
      </c>
      <c r="E47" s="44" t="s">
        <v>10</v>
      </c>
      <c r="F47" s="43">
        <f>HearingAids7[[#This Row],[haMSRP]]-((HearingAids7[[#This Row],[ListPriceBinural]]-HearingAids7[[#This Row],[chargerPrice]])/2)</f>
        <v>276.5</v>
      </c>
      <c r="G47" s="43">
        <f>HearingAids7[[#This Row],[haMSRP]]-HearingAids7[[#This Row],[Discount Amount 1]]</f>
        <v>3562.5</v>
      </c>
      <c r="H47" s="97">
        <v>7450</v>
      </c>
      <c r="I47" s="75" t="s">
        <v>86</v>
      </c>
      <c r="J47" s="44">
        <f>(HearingAids7[[#This Row],[haMSRP]]-HearingAids7[[#This Row],[Discount Amount 1]])-(HearingAids7[[#This Row],[haNetPriceBinural]]-HearingAids7[[#This Row],[chargerPrice]])/2</f>
        <v>1230</v>
      </c>
      <c r="K47" s="44">
        <f>HearingAids7[[#This Row],[HAListPrice]]-HearingAids7[[#This Row],[Discount Amount 2]]</f>
        <v>2332.5</v>
      </c>
      <c r="L47" s="97">
        <v>4990</v>
      </c>
      <c r="M47" s="44"/>
      <c r="N47" s="44"/>
      <c r="O47" s="44">
        <f>HearingAids7[[#This Row],[haNetPrice]]-HearingAids7[[#This Row],[Discount Amount 3]]</f>
        <v>2332.5</v>
      </c>
      <c r="P47" s="44"/>
      <c r="Q47" s="45">
        <v>1</v>
      </c>
      <c r="R47" s="45" t="s">
        <v>52</v>
      </c>
      <c r="S47" s="45">
        <v>325</v>
      </c>
      <c r="T47" s="47" t="s">
        <v>55</v>
      </c>
      <c r="U47" s="47">
        <v>0</v>
      </c>
      <c r="V47" s="47" t="s">
        <v>56</v>
      </c>
      <c r="W47" s="4"/>
      <c r="Y47" s="15"/>
      <c r="Z47" s="15"/>
      <c r="AA47" s="15"/>
      <c r="AB47"/>
      <c r="AC47"/>
      <c r="AD47"/>
      <c r="AE47"/>
    </row>
    <row r="48" spans="1:32" ht="15">
      <c r="A48" s="41" t="s">
        <v>57</v>
      </c>
      <c r="B48" s="88" t="s">
        <v>58</v>
      </c>
      <c r="C48" s="42">
        <f>(HearingAids7[[#This Row],[haMSRP]]*2)+HearingAids7[[#This Row],[chargerPrice]]</f>
        <v>8003</v>
      </c>
      <c r="D48" s="97">
        <v>3839</v>
      </c>
      <c r="E48" s="44" t="s">
        <v>10</v>
      </c>
      <c r="F48" s="43">
        <f>HearingAids7[[#This Row],[haMSRP]]-((HearingAids7[[#This Row],[ListPriceBinural]]-HearingAids7[[#This Row],[chargerPrice]])/2)</f>
        <v>276.5</v>
      </c>
      <c r="G48" s="43">
        <f>HearingAids7[[#This Row],[haMSRP]]-HearingAids7[[#This Row],[Discount Amount 1]]</f>
        <v>3562.5</v>
      </c>
      <c r="H48" s="97">
        <v>7450</v>
      </c>
      <c r="I48" s="75" t="s">
        <v>88</v>
      </c>
      <c r="J48" s="44">
        <f>(HearingAids7[[#This Row],[haMSRP]]-HearingAids7[[#This Row],[Discount Amount 1]])-(HearingAids7[[#This Row],[haNetPriceBinural]]-HearingAids7[[#This Row],[chargerPrice]])/2</f>
        <v>1230</v>
      </c>
      <c r="K48" s="44">
        <f>HearingAids7[[#This Row],[HAListPrice]]-HearingAids7[[#This Row],[Discount Amount 2]]</f>
        <v>2332.5</v>
      </c>
      <c r="L48" s="97">
        <v>4990</v>
      </c>
      <c r="M48" s="44"/>
      <c r="N48" s="44"/>
      <c r="O48" s="44">
        <f>HearingAids7[[#This Row],[haNetPrice]]-HearingAids7[[#This Row],[Discount Amount 3]]</f>
        <v>2332.5</v>
      </c>
      <c r="P48" s="44"/>
      <c r="Q48" s="45">
        <v>1</v>
      </c>
      <c r="R48" s="45" t="s">
        <v>52</v>
      </c>
      <c r="S48" s="45">
        <v>325</v>
      </c>
      <c r="T48" s="47" t="s">
        <v>55</v>
      </c>
      <c r="U48" s="47">
        <v>0</v>
      </c>
      <c r="V48" s="47" t="s">
        <v>56</v>
      </c>
      <c r="W48" s="4"/>
      <c r="Y48" s="15"/>
      <c r="Z48" s="15"/>
      <c r="AA48" s="15"/>
      <c r="AB48"/>
      <c r="AC48"/>
      <c r="AD48"/>
      <c r="AE48"/>
    </row>
    <row r="49" spans="1:31" ht="15">
      <c r="A49" s="41" t="s">
        <v>57</v>
      </c>
      <c r="B49" s="41" t="s">
        <v>58</v>
      </c>
      <c r="C49" s="42">
        <f>(HearingAids7[[#This Row],[haMSRP]]*2)+HearingAids7[[#This Row],[chargerPrice]]</f>
        <v>8003</v>
      </c>
      <c r="D49" s="97">
        <v>3839</v>
      </c>
      <c r="E49" s="44" t="s">
        <v>10</v>
      </c>
      <c r="F49" s="43">
        <f>HearingAids7[[#This Row],[haMSRP]]-((HearingAids7[[#This Row],[ListPriceBinural]]-HearingAids7[[#This Row],[chargerPrice]])/2)</f>
        <v>276.5</v>
      </c>
      <c r="G49" s="43">
        <f>HearingAids7[[#This Row],[haMSRP]]-HearingAids7[[#This Row],[Discount Amount 1]]</f>
        <v>3562.5</v>
      </c>
      <c r="H49" s="97">
        <v>7450</v>
      </c>
      <c r="I49" s="53" t="s">
        <v>45</v>
      </c>
      <c r="J49" s="44">
        <v>0</v>
      </c>
      <c r="K49" s="44">
        <f>HearingAids7[[#This Row],[HAListPrice]]-HearingAids7[[#This Row],[Discount Amount 2]]</f>
        <v>3562.5</v>
      </c>
      <c r="L49" s="98">
        <f>HearingAids7[[#This Row],[ListPriceBinural]]</f>
        <v>7450</v>
      </c>
      <c r="M49" s="44"/>
      <c r="N49" s="44"/>
      <c r="O49" s="44"/>
      <c r="P49" s="44"/>
      <c r="Q49" s="45">
        <v>1</v>
      </c>
      <c r="R49" s="44" t="s">
        <v>52</v>
      </c>
      <c r="S49" s="44">
        <v>325</v>
      </c>
      <c r="T49" s="47" t="s">
        <v>55</v>
      </c>
      <c r="U49" s="47">
        <v>0</v>
      </c>
      <c r="V49" s="47" t="s">
        <v>56</v>
      </c>
      <c r="W49" s="4"/>
      <c r="Y49" s="15"/>
      <c r="Z49" s="15"/>
      <c r="AA49" s="15"/>
      <c r="AB49"/>
      <c r="AC49"/>
      <c r="AD49"/>
      <c r="AE49"/>
    </row>
    <row r="50" spans="1:31" ht="15">
      <c r="A50" s="41" t="s">
        <v>57</v>
      </c>
      <c r="B50" s="41" t="s">
        <v>58</v>
      </c>
      <c r="C50" s="42">
        <f>(HearingAids7[[#This Row],[haMSRP]]*2)+HearingAids7[[#This Row],[chargerPrice]]</f>
        <v>8003</v>
      </c>
      <c r="D50" s="97">
        <v>3839</v>
      </c>
      <c r="E50" s="44" t="s">
        <v>10</v>
      </c>
      <c r="F50" s="43">
        <f>HearingAids7[[#This Row],[haMSRP]]-((HearingAids7[[#This Row],[ListPriceBinural]]-HearingAids7[[#This Row],[chargerPrice]])/2)</f>
        <v>276.5</v>
      </c>
      <c r="G50" s="43">
        <f>HearingAids7[[#This Row],[haMSRP]]-HearingAids7[[#This Row],[Discount Amount 1]]</f>
        <v>3562.5</v>
      </c>
      <c r="H50" s="97">
        <v>7450</v>
      </c>
      <c r="I50" s="75" t="s">
        <v>73</v>
      </c>
      <c r="J50" s="44">
        <f>(HearingAids7[[#This Row],[haMSRP]]-HearingAids7[[#This Row],[Discount Amount 1]])-(HearingAids7[[#This Row],[haNetPriceBinural]]-HearingAids7[[#This Row],[chargerPrice]])/2</f>
        <v>0</v>
      </c>
      <c r="K50" s="44">
        <f>HearingAids7[[#This Row],[HAListPrice]]-HearingAids7[[#This Row],[Discount Amount 2]]</f>
        <v>3562.5</v>
      </c>
      <c r="L50" s="97">
        <v>7450</v>
      </c>
      <c r="M50" s="44"/>
      <c r="N50" s="44"/>
      <c r="O50" s="44"/>
      <c r="P50" s="44"/>
      <c r="Q50" s="45">
        <v>1</v>
      </c>
      <c r="R50" s="45" t="s">
        <v>52</v>
      </c>
      <c r="S50" s="90">
        <v>325</v>
      </c>
      <c r="T50" s="47" t="s">
        <v>55</v>
      </c>
      <c r="U50" s="47">
        <v>0</v>
      </c>
      <c r="V50" s="47" t="s">
        <v>56</v>
      </c>
      <c r="W50" s="4"/>
      <c r="Y50" s="15"/>
      <c r="Z50" s="15"/>
      <c r="AA50" s="15"/>
      <c r="AB50"/>
      <c r="AC50"/>
      <c r="AD50"/>
      <c r="AE50"/>
    </row>
    <row r="51" spans="1:31" ht="15">
      <c r="A51" s="41" t="s">
        <v>57</v>
      </c>
      <c r="B51" s="41" t="s">
        <v>58</v>
      </c>
      <c r="C51" s="42">
        <f>(HearingAids7[[#This Row],[haMSRP]]*2)+HearingAids7[[#This Row],[chargerPrice]]</f>
        <v>8003</v>
      </c>
      <c r="D51" s="97">
        <v>3839</v>
      </c>
      <c r="E51" s="44" t="s">
        <v>10</v>
      </c>
      <c r="F51" s="43">
        <f>HearingAids7[[#This Row],[haMSRP]]-((HearingAids7[[#This Row],[ListPriceBinural]]-HearingAids7[[#This Row],[chargerPrice]])/2)</f>
        <v>276.5</v>
      </c>
      <c r="G51" s="43">
        <f>HearingAids7[[#This Row],[haMSRP]]-HearingAids7[[#This Row],[Discount Amount 1]]</f>
        <v>3562.5</v>
      </c>
      <c r="H51" s="97">
        <v>7450</v>
      </c>
      <c r="I51" s="53" t="s">
        <v>80</v>
      </c>
      <c r="J51" s="44">
        <f>(HearingAids7[[#This Row],[haMSRP]]-HearingAids7[[#This Row],[Discount Amount 1]])-(HearingAids7[[#This Row],[haNetPriceBinural]]-HearingAids7[[#This Row],[chargerPrice]])/2</f>
        <v>500</v>
      </c>
      <c r="K51" s="44">
        <f>HearingAids7[[#This Row],[HAListPrice]]-HearingAids7[[#This Row],[Discount Amount 2]]</f>
        <v>3062.5</v>
      </c>
      <c r="L51" s="97">
        <f>HearingAids7[[#This Row],[ListPriceBinural]]-1000</f>
        <v>6450</v>
      </c>
      <c r="M51" s="44"/>
      <c r="N51" s="44"/>
      <c r="O51" s="44"/>
      <c r="P51" s="44"/>
      <c r="Q51" s="45">
        <v>1</v>
      </c>
      <c r="R51" s="44" t="s">
        <v>52</v>
      </c>
      <c r="S51" s="44">
        <v>325</v>
      </c>
      <c r="T51" s="47" t="s">
        <v>55</v>
      </c>
      <c r="U51" s="47">
        <v>0</v>
      </c>
      <c r="V51" s="47" t="s">
        <v>56</v>
      </c>
      <c r="W51" s="4"/>
      <c r="Y51" s="15"/>
      <c r="Z51" s="15"/>
      <c r="AA51" s="15"/>
      <c r="AB51"/>
      <c r="AC51"/>
      <c r="AD51"/>
      <c r="AE51"/>
    </row>
    <row r="52" spans="1:31" ht="15">
      <c r="A52" s="41" t="s">
        <v>57</v>
      </c>
      <c r="B52" s="41" t="s">
        <v>58</v>
      </c>
      <c r="C52" s="42">
        <f>(HearingAids7[[#This Row],[haMSRP]]*2)+HearingAids7[[#This Row],[chargerPrice]]</f>
        <v>8003</v>
      </c>
      <c r="D52" s="97">
        <v>3839</v>
      </c>
      <c r="E52" s="44" t="s">
        <v>10</v>
      </c>
      <c r="F52" s="43">
        <f>HearingAids7[[#This Row],[haMSRP]]-((HearingAids7[[#This Row],[ListPriceBinural]]-HearingAids7[[#This Row],[chargerPrice]])/2)</f>
        <v>276.5</v>
      </c>
      <c r="G52" s="43">
        <f>HearingAids7[[#This Row],[haMSRP]]-HearingAids7[[#This Row],[Discount Amount 1]]</f>
        <v>3562.5</v>
      </c>
      <c r="H52" s="97">
        <v>7450</v>
      </c>
      <c r="I52" s="53" t="s">
        <v>83</v>
      </c>
      <c r="J52" s="44">
        <f>((HearingAids7[[#This Row],[haMSRP]]-HearingAids7[[#This Row],[Discount Amount 1]])-(HearingAids7[[#This Row],[haNetPriceBinural]]-HearingAids7[[#This Row],[chargerPrice]])/2)</f>
        <v>825</v>
      </c>
      <c r="K52" s="44">
        <f>HearingAids7[[#This Row],[HAListPrice]]-HearingAids7[[#This Row],[Discount Amount 2]]</f>
        <v>2737.5</v>
      </c>
      <c r="L52" s="97">
        <v>5800</v>
      </c>
      <c r="M52" s="53"/>
      <c r="N52" s="44"/>
      <c r="O52" s="99"/>
      <c r="P52" s="44"/>
      <c r="Q52" s="45">
        <v>1</v>
      </c>
      <c r="R52" s="44" t="s">
        <v>52</v>
      </c>
      <c r="S52" s="44">
        <v>325</v>
      </c>
      <c r="T52" s="93" t="s">
        <v>55</v>
      </c>
      <c r="U52" s="20">
        <v>0</v>
      </c>
      <c r="V52" s="95" t="s">
        <v>56</v>
      </c>
      <c r="W52" s="4"/>
      <c r="Y52" s="15"/>
      <c r="Z52" s="15"/>
      <c r="AA52" s="15"/>
      <c r="AB52"/>
      <c r="AC52"/>
      <c r="AD52"/>
      <c r="AE52"/>
    </row>
    <row r="53" spans="1:31" ht="15">
      <c r="A53" s="41" t="s">
        <v>59</v>
      </c>
      <c r="B53" s="41" t="s">
        <v>60</v>
      </c>
      <c r="C53" s="42">
        <f>(HearingAids7[[#This Row],[haMSRP]]*2)+HearingAids7[[#This Row],[chargerPrice]]</f>
        <v>10403</v>
      </c>
      <c r="D53" s="97">
        <v>5039</v>
      </c>
      <c r="E53" s="44" t="s">
        <v>10</v>
      </c>
      <c r="F53" s="43">
        <f>HearingAids7[[#This Row],[haMSRP]]-((HearingAids7[[#This Row],[ListPriceBinural]]-HearingAids7[[#This Row],[chargerPrice]])/2)</f>
        <v>926.5</v>
      </c>
      <c r="G53" s="43">
        <f>HearingAids7[[#This Row],[haMSRP]]-HearingAids7[[#This Row],[Discount Amount 1]]</f>
        <v>4112.5</v>
      </c>
      <c r="H53" s="97">
        <v>8550</v>
      </c>
      <c r="I53" s="53" t="s">
        <v>45</v>
      </c>
      <c r="J53" s="44">
        <v>0</v>
      </c>
      <c r="K53" s="44">
        <f>HearingAids7[[#This Row],[HAListPrice]]-HearingAids7[[#This Row],[Discount Amount 2]]</f>
        <v>4112.5</v>
      </c>
      <c r="L53" s="97">
        <f>HearingAids7[[#This Row],[ListPriceBinural]]</f>
        <v>8550</v>
      </c>
      <c r="M53" s="44"/>
      <c r="N53" s="44"/>
      <c r="O53" s="44"/>
      <c r="P53" s="44"/>
      <c r="Q53" s="45">
        <v>1</v>
      </c>
      <c r="R53" s="44" t="s">
        <v>52</v>
      </c>
      <c r="S53" s="44">
        <v>325</v>
      </c>
      <c r="T53" s="47" t="s">
        <v>55</v>
      </c>
      <c r="U53" s="47">
        <v>0</v>
      </c>
      <c r="V53" s="47" t="s">
        <v>56</v>
      </c>
      <c r="W53" s="4"/>
      <c r="Y53" s="15"/>
      <c r="Z53" s="15"/>
      <c r="AA53" s="15"/>
      <c r="AB53"/>
      <c r="AC53"/>
      <c r="AD53"/>
      <c r="AE53"/>
    </row>
    <row r="54" spans="1:31" ht="15">
      <c r="A54" s="41" t="s">
        <v>59</v>
      </c>
      <c r="B54" s="88" t="s">
        <v>60</v>
      </c>
      <c r="C54" s="42">
        <f>(HearingAids7[[#This Row],[haMSRP]]*2)+HearingAids7[[#This Row],[chargerPrice]]</f>
        <v>10403</v>
      </c>
      <c r="D54" s="97">
        <v>5039</v>
      </c>
      <c r="E54" s="44" t="s">
        <v>10</v>
      </c>
      <c r="F54" s="43">
        <f>HearingAids7[[#This Row],[haMSRP]]-((HearingAids7[[#This Row],[ListPriceBinural]]-HearingAids7[[#This Row],[chargerPrice]])/2)</f>
        <v>926.5</v>
      </c>
      <c r="G54" s="43">
        <f>HearingAids7[[#This Row],[haMSRP]]-HearingAids7[[#This Row],[Discount Amount 1]]</f>
        <v>4112.5</v>
      </c>
      <c r="H54" s="97">
        <v>8550</v>
      </c>
      <c r="I54" s="75" t="s">
        <v>64</v>
      </c>
      <c r="J54" s="44">
        <f>(HearingAids7[[#This Row],[haMSRP]]-HearingAids7[[#This Row],[Discount Amount 1]])-(HearingAids7[[#This Row],[haNetPriceBinural]]-HearingAids7[[#This Row],[chargerPrice]])/2</f>
        <v>1380</v>
      </c>
      <c r="K54" s="44">
        <f>HearingAids7[[#This Row],[HAListPrice]]-HearingAids7[[#This Row],[Discount Amount 2]]</f>
        <v>2732.5</v>
      </c>
      <c r="L54" s="97">
        <v>5790</v>
      </c>
      <c r="M54" s="44"/>
      <c r="N54" s="44">
        <f>((HearingAids7[[#This Row],[haNetPriceBinural]]-HearingAids7[[#This Row],[chargerPrice]])/2)-HearingAids7[[#This Row],[haNetPriceBinural2]]</f>
        <v>2732.5</v>
      </c>
      <c r="O54" s="44">
        <f>HearingAids7[[#This Row],[haNetPrice]]-HearingAids7[[#This Row],[Discount Amount 3]]</f>
        <v>0</v>
      </c>
      <c r="P54" s="44"/>
      <c r="Q54" s="45">
        <v>1</v>
      </c>
      <c r="R54" s="45" t="s">
        <v>52</v>
      </c>
      <c r="S54" s="45">
        <v>325</v>
      </c>
      <c r="T54" s="47" t="s">
        <v>55</v>
      </c>
      <c r="U54" s="47">
        <v>0</v>
      </c>
      <c r="V54" s="47" t="s">
        <v>56</v>
      </c>
      <c r="W54" s="4"/>
      <c r="Y54" s="15"/>
      <c r="Z54" s="15"/>
      <c r="AA54" s="15"/>
      <c r="AB54"/>
      <c r="AC54"/>
      <c r="AD54"/>
      <c r="AE54"/>
    </row>
    <row r="55" spans="1:31" ht="15">
      <c r="A55" s="41" t="s">
        <v>59</v>
      </c>
      <c r="B55" s="41" t="s">
        <v>60</v>
      </c>
      <c r="C55" s="42">
        <f>(HearingAids7[[#This Row],[haMSRP]]*2)+HearingAids7[[#This Row],[chargerPrice]]</f>
        <v>10403</v>
      </c>
      <c r="D55" s="97">
        <v>5039</v>
      </c>
      <c r="E55" s="44" t="s">
        <v>10</v>
      </c>
      <c r="F55" s="43">
        <f>HearingAids7[[#This Row],[haMSRP]]-((HearingAids7[[#This Row],[ListPriceBinural]]-HearingAids7[[#This Row],[chargerPrice]])/2)</f>
        <v>926.5</v>
      </c>
      <c r="G55" s="43">
        <f>HearingAids7[[#This Row],[haMSRP]]-HearingAids7[[#This Row],[Discount Amount 1]]</f>
        <v>4112.5</v>
      </c>
      <c r="H55" s="97">
        <v>8550</v>
      </c>
      <c r="I55" s="75" t="s">
        <v>74</v>
      </c>
      <c r="J55" s="44">
        <f>(HearingAids7[[#This Row],[haMSRP]]-HearingAids7[[#This Row],[Discount Amount 1]])-(HearingAids7[[#This Row],[haNetPriceBinural]]-HearingAids7[[#This Row],[chargerPrice]])/2</f>
        <v>1280</v>
      </c>
      <c r="K55" s="44">
        <f>HearingAids7[[#This Row],[HAListPrice]]-HearingAids7[[#This Row],[Discount Amount 2]]</f>
        <v>2832.5</v>
      </c>
      <c r="L55" s="97">
        <v>5990</v>
      </c>
      <c r="M55" s="44"/>
      <c r="N55" s="44"/>
      <c r="O55" s="44"/>
      <c r="P55" s="44"/>
      <c r="Q55" s="45">
        <v>1</v>
      </c>
      <c r="R55" s="45" t="s">
        <v>52</v>
      </c>
      <c r="S55" s="90">
        <v>325</v>
      </c>
      <c r="T55" s="47" t="s">
        <v>55</v>
      </c>
      <c r="U55" s="47">
        <v>0</v>
      </c>
      <c r="V55" s="47" t="s">
        <v>56</v>
      </c>
      <c r="W55" s="4"/>
      <c r="Y55" s="15"/>
      <c r="Z55" s="15"/>
      <c r="AA55" s="15"/>
      <c r="AB55"/>
      <c r="AC55"/>
      <c r="AD55"/>
      <c r="AE55"/>
    </row>
    <row r="56" spans="1:31" ht="15">
      <c r="A56" s="41" t="s">
        <v>59</v>
      </c>
      <c r="B56" s="41" t="s">
        <v>60</v>
      </c>
      <c r="C56" s="42">
        <f>(HearingAids7[[#This Row],[haMSRP]]*2)+HearingAids7[[#This Row],[chargerPrice]]</f>
        <v>10403</v>
      </c>
      <c r="D56" s="97">
        <v>5039</v>
      </c>
      <c r="E56" s="44" t="s">
        <v>10</v>
      </c>
      <c r="F56" s="43">
        <f>HearingAids7[[#This Row],[haMSRP]]-((HearingAids7[[#This Row],[ListPriceBinural]]-HearingAids7[[#This Row],[chargerPrice]])/2)</f>
        <v>926.5</v>
      </c>
      <c r="G56" s="43">
        <f>HearingAids7[[#This Row],[haMSRP]]-HearingAids7[[#This Row],[Discount Amount 1]]</f>
        <v>4112.5</v>
      </c>
      <c r="H56" s="97">
        <v>8550</v>
      </c>
      <c r="I56" s="53" t="s">
        <v>75</v>
      </c>
      <c r="J56" s="44">
        <f>(HearingAids7[[#This Row],[haMSRP]]-HearingAids7[[#This Row],[Discount Amount 1]])-(HearingAids7[[#This Row],[haNetPriceBinural]]-HearingAids7[[#This Row],[chargerPrice]])/2</f>
        <v>100</v>
      </c>
      <c r="K56" s="44">
        <f>HearingAids7[[#This Row],[HAListPrice]]-HearingAids7[[#This Row],[Discount Amount 2]]</f>
        <v>4012.5</v>
      </c>
      <c r="L56" s="97">
        <v>8350</v>
      </c>
      <c r="M56" s="44"/>
      <c r="N56" s="44"/>
      <c r="O56" s="44"/>
      <c r="P56" s="44"/>
      <c r="Q56" s="45">
        <v>1</v>
      </c>
      <c r="R56" s="44" t="s">
        <v>52</v>
      </c>
      <c r="S56" s="44">
        <v>325</v>
      </c>
      <c r="T56" s="47" t="s">
        <v>55</v>
      </c>
      <c r="U56" s="47">
        <v>0</v>
      </c>
      <c r="V56" s="47" t="s">
        <v>56</v>
      </c>
      <c r="W56" s="4"/>
      <c r="Y56" s="15"/>
      <c r="Z56" s="15"/>
      <c r="AA56" s="15"/>
      <c r="AB56"/>
      <c r="AC56"/>
      <c r="AD56"/>
      <c r="AE56"/>
    </row>
    <row r="57" spans="1:31" ht="15">
      <c r="A57" s="41" t="s">
        <v>59</v>
      </c>
      <c r="B57" s="41" t="s">
        <v>60</v>
      </c>
      <c r="C57" s="42">
        <f>(HearingAids7[[#This Row],[haMSRP]]*2)+HearingAids7[[#This Row],[chargerPrice]]</f>
        <v>10403</v>
      </c>
      <c r="D57" s="97">
        <v>5039</v>
      </c>
      <c r="E57" s="44" t="s">
        <v>10</v>
      </c>
      <c r="F57" s="43">
        <f>HearingAids7[[#This Row],[haMSRP]]-((HearingAids7[[#This Row],[ListPriceBinural]]-HearingAids7[[#This Row],[chargerPrice]])/2)</f>
        <v>926.5</v>
      </c>
      <c r="G57" s="43">
        <f>HearingAids7[[#This Row],[haMSRP]]-HearingAids7[[#This Row],[Discount Amount 1]]</f>
        <v>4112.5</v>
      </c>
      <c r="H57" s="97">
        <v>8550</v>
      </c>
      <c r="I57" s="75" t="s">
        <v>76</v>
      </c>
      <c r="J57" s="44">
        <f>(HearingAids7[[#This Row],[haMSRP]]-HearingAids7[[#This Row],[Discount Amount 1]])-(HearingAids7[[#This Row],[haNetPriceBinural]]-HearingAids7[[#This Row],[chargerPrice]])/2</f>
        <v>1380</v>
      </c>
      <c r="K57" s="44">
        <f>HearingAids7[[#This Row],[HAListPrice]]-HearingAids7[[#This Row],[Discount Amount 2]]</f>
        <v>2732.5</v>
      </c>
      <c r="L57" s="97">
        <v>5790</v>
      </c>
      <c r="M57" s="44"/>
      <c r="N57" s="44">
        <f>((HearingAids7[[#This Row],[haNetPriceBinural]]-HearingAids7[[#This Row],[chargerPrice]])/2)-HearingAids7[[#This Row],[haNetPriceBinural2]]</f>
        <v>2732.5</v>
      </c>
      <c r="O57" s="44">
        <f>HearingAids7[[#This Row],[haNetPrice]]-HearingAids7[[#This Row],[Discount Amount 3]]</f>
        <v>0</v>
      </c>
      <c r="P57" s="44"/>
      <c r="Q57" s="45">
        <v>1</v>
      </c>
      <c r="R57" s="45" t="s">
        <v>52</v>
      </c>
      <c r="S57" s="45">
        <v>325</v>
      </c>
      <c r="T57" s="47" t="s">
        <v>55</v>
      </c>
      <c r="U57" s="47">
        <v>0</v>
      </c>
      <c r="V57" s="47" t="s">
        <v>56</v>
      </c>
      <c r="W57" s="4"/>
      <c r="Y57" s="15"/>
      <c r="Z57" s="15"/>
      <c r="AA57" s="15"/>
      <c r="AB57"/>
      <c r="AC57"/>
      <c r="AD57"/>
      <c r="AE57"/>
    </row>
    <row r="58" spans="1:31" ht="15">
      <c r="A58" s="41" t="s">
        <v>59</v>
      </c>
      <c r="B58" s="88" t="s">
        <v>60</v>
      </c>
      <c r="C58" s="42">
        <f>(HearingAids7[[#This Row],[haMSRP]]*2)+HearingAids7[[#This Row],[chargerPrice]]</f>
        <v>10403</v>
      </c>
      <c r="D58" s="97">
        <v>5039</v>
      </c>
      <c r="E58" s="44" t="s">
        <v>10</v>
      </c>
      <c r="F58" s="43">
        <f>HearingAids7[[#This Row],[haMSRP]]-((HearingAids7[[#This Row],[ListPriceBinural]]-HearingAids7[[#This Row],[chargerPrice]])/2)</f>
        <v>926.5</v>
      </c>
      <c r="G58" s="43">
        <f>HearingAids7[[#This Row],[haMSRP]]-HearingAids7[[#This Row],[Discount Amount 1]]</f>
        <v>4112.5</v>
      </c>
      <c r="H58" s="97">
        <v>8550</v>
      </c>
      <c r="I58" s="75" t="s">
        <v>77</v>
      </c>
      <c r="J58" s="44">
        <f>(HearingAids7[[#This Row],[haMSRP]]-HearingAids7[[#This Row],[Discount Amount 1]])-(HearingAids7[[#This Row],[haNetPriceBinural]]-HearingAids7[[#This Row],[chargerPrice]])/2</f>
        <v>1380</v>
      </c>
      <c r="K58" s="44">
        <f>HearingAids7[[#This Row],[HAListPrice]]-HearingAids7[[#This Row],[Discount Amount 2]]</f>
        <v>2732.5</v>
      </c>
      <c r="L58" s="97">
        <v>5790</v>
      </c>
      <c r="M58" s="44"/>
      <c r="N58" s="44">
        <f>((HearingAids7[[#This Row],[haNetPriceBinural]]-HearingAids7[[#This Row],[chargerPrice]])/2)-HearingAids7[[#This Row],[haNetPriceBinural2]]</f>
        <v>2732.5</v>
      </c>
      <c r="O58" s="44">
        <f>HearingAids7[[#This Row],[haNetPrice]]-HearingAids7[[#This Row],[Discount Amount 3]]</f>
        <v>0</v>
      </c>
      <c r="P58" s="44"/>
      <c r="Q58" s="45">
        <v>1</v>
      </c>
      <c r="R58" s="45" t="s">
        <v>52</v>
      </c>
      <c r="S58" s="45">
        <v>325</v>
      </c>
      <c r="T58" s="47" t="s">
        <v>55</v>
      </c>
      <c r="U58" s="47">
        <v>0</v>
      </c>
      <c r="V58" s="47" t="s">
        <v>56</v>
      </c>
      <c r="W58" s="4"/>
      <c r="Y58" s="15"/>
      <c r="Z58" s="15"/>
      <c r="AA58" s="15"/>
      <c r="AB58"/>
      <c r="AC58"/>
      <c r="AD58"/>
      <c r="AE58"/>
    </row>
    <row r="59" spans="1:31" ht="15">
      <c r="A59" s="41" t="s">
        <v>59</v>
      </c>
      <c r="B59" s="88" t="s">
        <v>60</v>
      </c>
      <c r="C59" s="42">
        <f>(HearingAids7[[#This Row],[haMSRP]]*2)+HearingAids7[[#This Row],[chargerPrice]]</f>
        <v>10403</v>
      </c>
      <c r="D59" s="97">
        <v>5039</v>
      </c>
      <c r="E59" s="44" t="s">
        <v>10</v>
      </c>
      <c r="F59" s="43">
        <f>HearingAids7[[#This Row],[haMSRP]]-((HearingAids7[[#This Row],[ListPriceBinural]]-HearingAids7[[#This Row],[chargerPrice]])/2)</f>
        <v>926.5</v>
      </c>
      <c r="G59" s="43">
        <f>HearingAids7[[#This Row],[haMSRP]]-HearingAids7[[#This Row],[Discount Amount 1]]</f>
        <v>4112.5</v>
      </c>
      <c r="H59" s="97">
        <v>8550</v>
      </c>
      <c r="I59" s="75" t="s">
        <v>78</v>
      </c>
      <c r="J59" s="44">
        <f>(HearingAids7[[#This Row],[haMSRP]]-HearingAids7[[#This Row],[Discount Amount 1]])-(HearingAids7[[#This Row],[haNetPriceBinural]]-HearingAids7[[#This Row],[chargerPrice]])/2</f>
        <v>1380</v>
      </c>
      <c r="K59" s="44">
        <f>HearingAids7[[#This Row],[HAListPrice]]-HearingAids7[[#This Row],[Discount Amount 2]]</f>
        <v>2732.5</v>
      </c>
      <c r="L59" s="97">
        <v>5790</v>
      </c>
      <c r="M59" s="44"/>
      <c r="N59" s="44">
        <f>((HearingAids7[[#This Row],[haNetPriceBinural]]-HearingAids7[[#This Row],[chargerPrice]])/2)-HearingAids7[[#This Row],[haNetPriceBinural2]]</f>
        <v>2732.5</v>
      </c>
      <c r="O59" s="44">
        <f>HearingAids7[[#This Row],[haNetPrice]]-HearingAids7[[#This Row],[Discount Amount 3]]</f>
        <v>0</v>
      </c>
      <c r="P59" s="44"/>
      <c r="Q59" s="45">
        <v>1</v>
      </c>
      <c r="R59" s="45" t="s">
        <v>52</v>
      </c>
      <c r="S59" s="45">
        <v>325</v>
      </c>
      <c r="T59" s="47" t="s">
        <v>55</v>
      </c>
      <c r="U59" s="47">
        <v>0</v>
      </c>
      <c r="V59" s="47" t="s">
        <v>56</v>
      </c>
      <c r="W59" s="4"/>
      <c r="Y59" s="15"/>
      <c r="Z59" s="15"/>
      <c r="AA59" s="15"/>
      <c r="AB59"/>
      <c r="AC59"/>
      <c r="AD59"/>
      <c r="AE59"/>
    </row>
    <row r="60" spans="1:31" ht="15">
      <c r="A60" s="41" t="s">
        <v>59</v>
      </c>
      <c r="B60" s="41" t="s">
        <v>60</v>
      </c>
      <c r="C60" s="42">
        <f>(HearingAids7[[#This Row],[haMSRP]]*2)+HearingAids7[[#This Row],[chargerPrice]]</f>
        <v>10403</v>
      </c>
      <c r="D60" s="97">
        <v>5039</v>
      </c>
      <c r="E60" s="44" t="s">
        <v>10</v>
      </c>
      <c r="F60" s="43">
        <f>HearingAids7[[#This Row],[haMSRP]]-((HearingAids7[[#This Row],[ListPriceBinural]]-HearingAids7[[#This Row],[chargerPrice]])/2)</f>
        <v>926.5</v>
      </c>
      <c r="G60" s="43">
        <f>HearingAids7[[#This Row],[haMSRP]]-HearingAids7[[#This Row],[Discount Amount 1]]</f>
        <v>4112.5</v>
      </c>
      <c r="H60" s="97">
        <v>8550</v>
      </c>
      <c r="I60" s="53" t="s">
        <v>80</v>
      </c>
      <c r="J60" s="44">
        <f>(HearingAids7[[#This Row],[haMSRP]]-HearingAids7[[#This Row],[Discount Amount 1]])-(HearingAids7[[#This Row],[haNetPriceBinural]]-HearingAids7[[#This Row],[chargerPrice]])/2</f>
        <v>500</v>
      </c>
      <c r="K60" s="44">
        <f>HearingAids7[[#This Row],[HAListPrice]]-HearingAids7[[#This Row],[Discount Amount 2]]</f>
        <v>3612.5</v>
      </c>
      <c r="L60" s="97">
        <f>HearingAids7[[#This Row],[ListPriceBinural]]-1000</f>
        <v>7550</v>
      </c>
      <c r="M60" s="44"/>
      <c r="N60" s="44"/>
      <c r="O60" s="44"/>
      <c r="P60" s="44"/>
      <c r="Q60" s="45">
        <v>1</v>
      </c>
      <c r="R60" s="44" t="s">
        <v>52</v>
      </c>
      <c r="S60" s="44">
        <v>325</v>
      </c>
      <c r="T60" s="47" t="s">
        <v>55</v>
      </c>
      <c r="U60" s="47">
        <v>0</v>
      </c>
      <c r="V60" s="47" t="s">
        <v>56</v>
      </c>
      <c r="W60" s="4"/>
      <c r="Y60" s="15"/>
      <c r="Z60" s="15"/>
      <c r="AA60" s="15"/>
      <c r="AB60"/>
      <c r="AC60"/>
      <c r="AD60"/>
      <c r="AE60"/>
    </row>
    <row r="61" spans="1:31" ht="15">
      <c r="A61" s="41" t="s">
        <v>59</v>
      </c>
      <c r="B61" s="41" t="s">
        <v>60</v>
      </c>
      <c r="C61" s="42">
        <f>(HearingAids7[[#This Row],[haMSRP]]*2)+HearingAids7[[#This Row],[chargerPrice]]</f>
        <v>10403</v>
      </c>
      <c r="D61" s="97">
        <v>5039</v>
      </c>
      <c r="E61" s="44" t="s">
        <v>10</v>
      </c>
      <c r="F61" s="43">
        <f>HearingAids7[[#This Row],[haMSRP]]-((HearingAids7[[#This Row],[ListPriceBinural]]-HearingAids7[[#This Row],[chargerPrice]])/2)</f>
        <v>926.5</v>
      </c>
      <c r="G61" s="43">
        <f>HearingAids7[[#This Row],[haMSRP]]-HearingAids7[[#This Row],[Discount Amount 1]]</f>
        <v>4112.5</v>
      </c>
      <c r="H61" s="97">
        <v>8550</v>
      </c>
      <c r="I61" s="75" t="s">
        <v>81</v>
      </c>
      <c r="J61" s="44">
        <f>(HearingAids7[[#This Row],[haMSRP]]-HearingAids7[[#This Row],[Discount Amount 1]])-(HearingAids7[[#This Row],[haNetPriceBinural]]-HearingAids7[[#This Row],[chargerPrice]])/2</f>
        <v>1380</v>
      </c>
      <c r="K61" s="44">
        <f>HearingAids7[[#This Row],[HAListPrice]]-HearingAids7[[#This Row],[Discount Amount 2]]</f>
        <v>2732.5</v>
      </c>
      <c r="L61" s="97">
        <v>5790</v>
      </c>
      <c r="M61" s="44"/>
      <c r="N61" s="44"/>
      <c r="O61" s="44">
        <f>HearingAids7[[#This Row],[haNetPrice]]-HearingAids7[[#This Row],[Discount Amount 3]]</f>
        <v>2732.5</v>
      </c>
      <c r="P61" s="44"/>
      <c r="Q61" s="45">
        <v>1</v>
      </c>
      <c r="R61" s="45" t="s">
        <v>52</v>
      </c>
      <c r="S61" s="45">
        <v>325</v>
      </c>
      <c r="T61" s="47" t="s">
        <v>55</v>
      </c>
      <c r="U61" s="47">
        <v>0</v>
      </c>
      <c r="V61" s="47" t="s">
        <v>56</v>
      </c>
      <c r="W61" s="4"/>
      <c r="Y61" s="15"/>
      <c r="Z61" s="15"/>
      <c r="AA61" s="15"/>
      <c r="AB61"/>
      <c r="AC61"/>
      <c r="AD61"/>
      <c r="AE61"/>
    </row>
    <row r="62" spans="1:31" ht="15">
      <c r="A62" s="41" t="s">
        <v>59</v>
      </c>
      <c r="B62" s="88" t="s">
        <v>60</v>
      </c>
      <c r="C62" s="42">
        <f>(HearingAids7[[#This Row],[haMSRP]]*2)+HearingAids7[[#This Row],[chargerPrice]]</f>
        <v>10403</v>
      </c>
      <c r="D62" s="97">
        <v>5039</v>
      </c>
      <c r="E62" s="44" t="s">
        <v>10</v>
      </c>
      <c r="F62" s="43">
        <f>HearingAids7[[#This Row],[haMSRP]]-((HearingAids7[[#This Row],[ListPriceBinural]]-HearingAids7[[#This Row],[chargerPrice]])/2)</f>
        <v>926.5</v>
      </c>
      <c r="G62" s="43">
        <f>HearingAids7[[#This Row],[haMSRP]]-HearingAids7[[#This Row],[Discount Amount 1]]</f>
        <v>4112.5</v>
      </c>
      <c r="H62" s="97">
        <v>8550</v>
      </c>
      <c r="I62" s="75" t="s">
        <v>82</v>
      </c>
      <c r="J62" s="44">
        <f>(HearingAids7[[#This Row],[haMSRP]]-HearingAids7[[#This Row],[Discount Amount 1]])-(HearingAids7[[#This Row],[haNetPriceBinural]]-HearingAids7[[#This Row],[chargerPrice]])/2</f>
        <v>1380</v>
      </c>
      <c r="K62" s="44">
        <f>HearingAids7[[#This Row],[HAListPrice]]-HearingAids7[[#This Row],[Discount Amount 2]]</f>
        <v>2732.5</v>
      </c>
      <c r="L62" s="97">
        <v>5790</v>
      </c>
      <c r="M62" s="44"/>
      <c r="N62" s="44"/>
      <c r="O62" s="44">
        <f>HearingAids7[[#This Row],[haNetPrice]]-HearingAids7[[#This Row],[Discount Amount 3]]</f>
        <v>2732.5</v>
      </c>
      <c r="P62" s="44"/>
      <c r="Q62" s="45">
        <v>1</v>
      </c>
      <c r="R62" s="45" t="s">
        <v>52</v>
      </c>
      <c r="S62" s="45">
        <v>325</v>
      </c>
      <c r="T62" s="47" t="s">
        <v>55</v>
      </c>
      <c r="U62" s="47">
        <v>0</v>
      </c>
      <c r="V62" s="47" t="s">
        <v>56</v>
      </c>
      <c r="W62" s="4"/>
      <c r="Y62" s="15"/>
      <c r="Z62" s="15"/>
      <c r="AA62" s="15"/>
      <c r="AB62"/>
      <c r="AC62"/>
      <c r="AD62"/>
      <c r="AE62"/>
    </row>
    <row r="63" spans="1:31" ht="15">
      <c r="A63" s="41" t="s">
        <v>59</v>
      </c>
      <c r="B63" s="41" t="s">
        <v>60</v>
      </c>
      <c r="C63" s="42">
        <f>(HearingAids7[[#This Row],[haMSRP]]*2)+HearingAids7[[#This Row],[chargerPrice]]</f>
        <v>10403</v>
      </c>
      <c r="D63" s="97">
        <v>5039</v>
      </c>
      <c r="E63" s="44" t="s">
        <v>10</v>
      </c>
      <c r="F63" s="43">
        <f>HearingAids7[[#This Row],[haMSRP]]-((HearingAids7[[#This Row],[ListPriceBinural]]-HearingAids7[[#This Row],[chargerPrice]])/2)</f>
        <v>926.5</v>
      </c>
      <c r="G63" s="43">
        <f>HearingAids7[[#This Row],[haMSRP]]-HearingAids7[[#This Row],[Discount Amount 1]]</f>
        <v>4112.5</v>
      </c>
      <c r="H63" s="97">
        <v>8550</v>
      </c>
      <c r="I63" s="53" t="s">
        <v>83</v>
      </c>
      <c r="J63" s="44">
        <f>((HearingAids7[[#This Row],[haMSRP]]-HearingAids7[[#This Row],[Discount Amount 1]])-(HearingAids7[[#This Row],[haNetPriceBinural]]-HearingAids7[[#This Row],[chargerPrice]])/2)</f>
        <v>975</v>
      </c>
      <c r="K63" s="44">
        <f>HearingAids7[[#This Row],[HAListPrice]]-HearingAids7[[#This Row],[Discount Amount 2]]</f>
        <v>3137.5</v>
      </c>
      <c r="L63" s="97">
        <v>6600</v>
      </c>
      <c r="M63" s="53"/>
      <c r="N63" s="44"/>
      <c r="O63" s="99"/>
      <c r="P63" s="44"/>
      <c r="Q63" s="45">
        <v>1</v>
      </c>
      <c r="R63" s="44" t="s">
        <v>52</v>
      </c>
      <c r="S63" s="44">
        <v>325</v>
      </c>
      <c r="T63" s="93" t="s">
        <v>55</v>
      </c>
      <c r="U63" s="20">
        <v>0</v>
      </c>
      <c r="V63" s="95" t="s">
        <v>56</v>
      </c>
      <c r="W63" s="4"/>
      <c r="Y63" s="15"/>
      <c r="Z63" s="15"/>
      <c r="AA63" s="15"/>
      <c r="AB63"/>
      <c r="AC63"/>
      <c r="AD63"/>
      <c r="AE63"/>
    </row>
    <row r="64" spans="1:31" ht="15">
      <c r="A64" s="41" t="s">
        <v>59</v>
      </c>
      <c r="B64" s="41" t="s">
        <v>60</v>
      </c>
      <c r="C64" s="42">
        <f>(HearingAids7[[#This Row],[haMSRP]]*2)+HearingAids7[[#This Row],[chargerPrice]]</f>
        <v>10403</v>
      </c>
      <c r="D64" s="97">
        <v>5039</v>
      </c>
      <c r="E64" s="44" t="s">
        <v>10</v>
      </c>
      <c r="F64" s="43">
        <f>HearingAids7[[#This Row],[haMSRP]]-((HearingAids7[[#This Row],[ListPriceBinural]]-HearingAids7[[#This Row],[chargerPrice]])/2)</f>
        <v>926.5</v>
      </c>
      <c r="G64" s="43">
        <f>HearingAids7[[#This Row],[haMSRP]]-HearingAids7[[#This Row],[Discount Amount 1]]</f>
        <v>4112.5</v>
      </c>
      <c r="H64" s="97">
        <v>8550</v>
      </c>
      <c r="I64" s="75" t="s">
        <v>85</v>
      </c>
      <c r="J64" s="44">
        <f>(HearingAids7[[#This Row],[haMSRP]]-HearingAids7[[#This Row],[Discount Amount 1]])-(HearingAids7[[#This Row],[haNetPriceBinural]]-HearingAids7[[#This Row],[chargerPrice]])/2</f>
        <v>1380</v>
      </c>
      <c r="K64" s="44">
        <f>HearingAids7[[#This Row],[HAListPrice]]-HearingAids7[[#This Row],[Discount Amount 2]]</f>
        <v>2732.5</v>
      </c>
      <c r="L64" s="97">
        <v>5790</v>
      </c>
      <c r="M64" s="44"/>
      <c r="N64" s="44"/>
      <c r="O64" s="44">
        <f>HearingAids7[[#This Row],[haNetPrice]]-HearingAids7[[#This Row],[Discount Amount 3]]</f>
        <v>2732.5</v>
      </c>
      <c r="P64" s="44"/>
      <c r="Q64" s="45">
        <v>1</v>
      </c>
      <c r="R64" s="45" t="s">
        <v>52</v>
      </c>
      <c r="S64" s="45">
        <v>325</v>
      </c>
      <c r="T64" s="47" t="s">
        <v>55</v>
      </c>
      <c r="U64" s="47">
        <v>0</v>
      </c>
      <c r="V64" s="47" t="s">
        <v>56</v>
      </c>
      <c r="W64" s="4"/>
      <c r="Y64" s="15"/>
      <c r="Z64" s="15"/>
      <c r="AA64" s="15"/>
      <c r="AB64"/>
      <c r="AC64"/>
      <c r="AD64"/>
      <c r="AE64"/>
    </row>
    <row r="65" spans="1:31" ht="15">
      <c r="A65" s="41" t="s">
        <v>59</v>
      </c>
      <c r="B65" s="88" t="s">
        <v>60</v>
      </c>
      <c r="C65" s="42">
        <f>(HearingAids7[[#This Row],[haMSRP]]*2)+HearingAids7[[#This Row],[chargerPrice]]</f>
        <v>10403</v>
      </c>
      <c r="D65" s="97">
        <v>5039</v>
      </c>
      <c r="E65" s="44" t="s">
        <v>10</v>
      </c>
      <c r="F65" s="43">
        <f>HearingAids7[[#This Row],[haMSRP]]-((HearingAids7[[#This Row],[ListPriceBinural]]-HearingAids7[[#This Row],[chargerPrice]])/2)</f>
        <v>926.5</v>
      </c>
      <c r="G65" s="43">
        <f>HearingAids7[[#This Row],[haMSRP]]-HearingAids7[[#This Row],[Discount Amount 1]]</f>
        <v>4112.5</v>
      </c>
      <c r="H65" s="97">
        <v>8550</v>
      </c>
      <c r="I65" s="75" t="s">
        <v>86</v>
      </c>
      <c r="J65" s="44">
        <f>(HearingAids7[[#This Row],[haMSRP]]-HearingAids7[[#This Row],[Discount Amount 1]])-(HearingAids7[[#This Row],[haNetPriceBinural]]-HearingAids7[[#This Row],[chargerPrice]])/2</f>
        <v>1380</v>
      </c>
      <c r="K65" s="44">
        <f>HearingAids7[[#This Row],[HAListPrice]]-HearingAids7[[#This Row],[Discount Amount 2]]</f>
        <v>2732.5</v>
      </c>
      <c r="L65" s="97">
        <v>5790</v>
      </c>
      <c r="M65" s="44"/>
      <c r="N65" s="44"/>
      <c r="O65" s="44">
        <f>HearingAids7[[#This Row],[haNetPrice]]-HearingAids7[[#This Row],[Discount Amount 3]]</f>
        <v>2732.5</v>
      </c>
      <c r="P65" s="44"/>
      <c r="Q65" s="45">
        <v>1</v>
      </c>
      <c r="R65" s="45" t="s">
        <v>52</v>
      </c>
      <c r="S65" s="45">
        <v>325</v>
      </c>
      <c r="T65" s="47" t="s">
        <v>55</v>
      </c>
      <c r="U65" s="47">
        <v>0</v>
      </c>
      <c r="V65" s="47" t="s">
        <v>56</v>
      </c>
      <c r="W65" s="4"/>
      <c r="Y65" s="15"/>
      <c r="Z65" s="15"/>
      <c r="AA65" s="15"/>
      <c r="AB65"/>
      <c r="AC65"/>
      <c r="AD65"/>
      <c r="AE65"/>
    </row>
    <row r="66" spans="1:31" ht="15">
      <c r="A66" s="41" t="s">
        <v>59</v>
      </c>
      <c r="B66" s="41" t="s">
        <v>60</v>
      </c>
      <c r="C66" s="42">
        <f>(HearingAids7[[#This Row],[haMSRP]]*2)+HearingAids7[[#This Row],[chargerPrice]]</f>
        <v>10403</v>
      </c>
      <c r="D66" s="97">
        <v>5039</v>
      </c>
      <c r="E66" s="44" t="s">
        <v>10</v>
      </c>
      <c r="F66" s="43">
        <f>HearingAids7[[#This Row],[haMSRP]]-((HearingAids7[[#This Row],[ListPriceBinural]]-HearingAids7[[#This Row],[chargerPrice]])/2)</f>
        <v>926.5</v>
      </c>
      <c r="G66" s="43">
        <f>HearingAids7[[#This Row],[haMSRP]]-HearingAids7[[#This Row],[Discount Amount 1]]</f>
        <v>4112.5</v>
      </c>
      <c r="H66" s="97">
        <v>8550</v>
      </c>
      <c r="I66" s="75" t="s">
        <v>88</v>
      </c>
      <c r="J66" s="44">
        <f>(HearingAids7[[#This Row],[haMSRP]]-HearingAids7[[#This Row],[Discount Amount 1]])-(HearingAids7[[#This Row],[haNetPriceBinural]]-HearingAids7[[#This Row],[chargerPrice]])/2</f>
        <v>1380</v>
      </c>
      <c r="K66" s="44">
        <f>HearingAids7[[#This Row],[HAListPrice]]-HearingAids7[[#This Row],[Discount Amount 2]]</f>
        <v>2732.5</v>
      </c>
      <c r="L66" s="97">
        <v>5790</v>
      </c>
      <c r="M66" s="44"/>
      <c r="N66" s="44"/>
      <c r="O66" s="44">
        <f>HearingAids7[[#This Row],[haNetPrice]]-HearingAids7[[#This Row],[Discount Amount 3]]</f>
        <v>2732.5</v>
      </c>
      <c r="P66" s="44"/>
      <c r="Q66" s="45">
        <v>1</v>
      </c>
      <c r="R66" s="45" t="s">
        <v>52</v>
      </c>
      <c r="S66" s="45">
        <v>325</v>
      </c>
      <c r="T66" s="47" t="s">
        <v>55</v>
      </c>
      <c r="U66" s="47">
        <v>0</v>
      </c>
      <c r="V66" s="47" t="s">
        <v>56</v>
      </c>
      <c r="W66" s="4"/>
      <c r="Y66" s="15"/>
      <c r="Z66" s="15"/>
      <c r="AA66" s="15"/>
      <c r="AB66"/>
      <c r="AC66"/>
      <c r="AD66"/>
      <c r="AE66"/>
    </row>
    <row r="67" spans="1:31" ht="15">
      <c r="A67" s="41" t="s">
        <v>562</v>
      </c>
      <c r="B67" s="88" t="s">
        <v>563</v>
      </c>
      <c r="C67" s="42">
        <f>(HearingAids7[[#This Row],[haMSRP]]*2)+HearingAids7[[#This Row],[chargerPrice]]</f>
        <v>12203</v>
      </c>
      <c r="D67" s="97">
        <v>5939</v>
      </c>
      <c r="E67" s="44" t="s">
        <v>10</v>
      </c>
      <c r="F67" s="43">
        <f>HearingAids7[[#This Row],[haMSRP]]-((HearingAids7[[#This Row],[ListPriceBinural]]-HearingAids7[[#This Row],[chargerPrice]])/2)</f>
        <v>1276.5</v>
      </c>
      <c r="G67" s="43">
        <f>HearingAids7[[#This Row],[haMSRP]]-HearingAids7[[#This Row],[Discount Amount 1]]</f>
        <v>4662.5</v>
      </c>
      <c r="H67" s="97">
        <v>9650</v>
      </c>
      <c r="I67" s="75" t="s">
        <v>45</v>
      </c>
      <c r="J67" s="44">
        <v>0</v>
      </c>
      <c r="K67" s="44">
        <f>HearingAids7[[#This Row],[HAListPrice]]-HearingAids7[[#This Row],[Discount Amount 2]]</f>
        <v>4662.5</v>
      </c>
      <c r="L67" s="98">
        <f>HearingAids7[[#This Row],[ListPriceBinural]]</f>
        <v>9650</v>
      </c>
      <c r="M67" s="44"/>
      <c r="N67" s="44"/>
      <c r="O67" s="44"/>
      <c r="P67" s="44"/>
      <c r="Q67" s="45">
        <v>1</v>
      </c>
      <c r="R67" s="45" t="s">
        <v>52</v>
      </c>
      <c r="S67" s="45">
        <v>325</v>
      </c>
      <c r="T67" s="47" t="s">
        <v>55</v>
      </c>
      <c r="U67" s="47">
        <v>0</v>
      </c>
      <c r="V67" s="47" t="s">
        <v>56</v>
      </c>
      <c r="W67" s="4"/>
      <c r="Y67" s="15"/>
      <c r="Z67" s="15"/>
      <c r="AA67" s="15"/>
      <c r="AB67"/>
      <c r="AC67"/>
      <c r="AD67"/>
      <c r="AE67"/>
    </row>
    <row r="68" spans="1:31" ht="15">
      <c r="A68" s="41" t="s">
        <v>564</v>
      </c>
      <c r="B68" s="88" t="s">
        <v>565</v>
      </c>
      <c r="C68" s="42">
        <f>(HearingAids7[[#This Row],[haMSRP]]*2)+HearingAids7[[#This Row],[chargerPrice]]</f>
        <v>6623</v>
      </c>
      <c r="D68" s="97">
        <v>3149</v>
      </c>
      <c r="E68" s="44" t="s">
        <v>10</v>
      </c>
      <c r="F68" s="43">
        <f>HearingAids7[[#This Row],[haMSRP]]-((HearingAids7[[#This Row],[ListPriceBinural]]-HearingAids7[[#This Row],[chargerPrice]])/2)</f>
        <v>636.5</v>
      </c>
      <c r="G68" s="43">
        <f>HearingAids7[[#This Row],[haMSRP]]-HearingAids7[[#This Row],[Discount Amount 1]]</f>
        <v>2512.5</v>
      </c>
      <c r="H68" s="97">
        <v>5350</v>
      </c>
      <c r="I68" s="75" t="s">
        <v>45</v>
      </c>
      <c r="J68" s="44">
        <v>0</v>
      </c>
      <c r="K68" s="44">
        <f>HearingAids7[[#This Row],[HAListPrice]]-HearingAids7[[#This Row],[Discount Amount 2]]</f>
        <v>2512.5</v>
      </c>
      <c r="L68" s="98">
        <f>HearingAids7[[#This Row],[ListPriceBinural]]</f>
        <v>5350</v>
      </c>
      <c r="M68" s="44"/>
      <c r="N68" s="44"/>
      <c r="O68" s="44"/>
      <c r="P68" s="44"/>
      <c r="Q68" s="45">
        <v>1</v>
      </c>
      <c r="R68" s="45" t="s">
        <v>52</v>
      </c>
      <c r="S68" s="45">
        <v>325</v>
      </c>
      <c r="T68" s="47" t="s">
        <v>55</v>
      </c>
      <c r="U68" s="47">
        <v>0</v>
      </c>
      <c r="V68" s="47" t="s">
        <v>56</v>
      </c>
      <c r="Y68" s="15"/>
      <c r="Z68" s="15"/>
      <c r="AA68" s="15"/>
      <c r="AB68"/>
      <c r="AC68"/>
      <c r="AD68"/>
      <c r="AE68"/>
    </row>
    <row r="69" spans="1:31" ht="15">
      <c r="A69" s="41" t="s">
        <v>566</v>
      </c>
      <c r="B69" s="88" t="s">
        <v>567</v>
      </c>
      <c r="C69" s="42">
        <f>(HearingAids7[[#This Row],[haMSRP]]*2)+HearingAids7[[#This Row],[chargerPrice]]</f>
        <v>8003</v>
      </c>
      <c r="D69" s="97">
        <v>3839</v>
      </c>
      <c r="E69" s="44" t="s">
        <v>10</v>
      </c>
      <c r="F69" s="43">
        <f>HearingAids7[[#This Row],[haMSRP]]-((HearingAids7[[#This Row],[ListPriceBinural]]-HearingAids7[[#This Row],[chargerPrice]])/2)</f>
        <v>276.5</v>
      </c>
      <c r="G69" s="43">
        <f>HearingAids7[[#This Row],[haMSRP]]-HearingAids7[[#This Row],[Discount Amount 1]]</f>
        <v>3562.5</v>
      </c>
      <c r="H69" s="97">
        <v>7450</v>
      </c>
      <c r="I69" s="75" t="s">
        <v>45</v>
      </c>
      <c r="J69" s="44">
        <v>0</v>
      </c>
      <c r="K69" s="44">
        <f>HearingAids7[[#This Row],[HAListPrice]]-HearingAids7[[#This Row],[Discount Amount 2]]</f>
        <v>3562.5</v>
      </c>
      <c r="L69" s="98">
        <f>HearingAids7[[#This Row],[ListPriceBinural]]</f>
        <v>7450</v>
      </c>
      <c r="M69" s="44"/>
      <c r="N69" s="44"/>
      <c r="O69" s="44"/>
      <c r="P69" s="44"/>
      <c r="Q69" s="45">
        <v>1</v>
      </c>
      <c r="R69" s="45" t="s">
        <v>52</v>
      </c>
      <c r="S69" s="45">
        <v>325</v>
      </c>
      <c r="T69" s="47" t="s">
        <v>55</v>
      </c>
      <c r="U69" s="47">
        <v>0</v>
      </c>
      <c r="V69" s="47" t="s">
        <v>56</v>
      </c>
      <c r="Y69" s="15"/>
      <c r="Z69" s="15"/>
      <c r="AA69" s="15"/>
      <c r="AB69"/>
      <c r="AC69"/>
      <c r="AD69"/>
      <c r="AE69"/>
    </row>
    <row r="70" spans="1:31" ht="15">
      <c r="A70" s="41" t="s">
        <v>568</v>
      </c>
      <c r="B70" s="88" t="s">
        <v>569</v>
      </c>
      <c r="C70" s="42">
        <f>(HearingAids7[[#This Row],[haMSRP]]*2)+HearingAids7[[#This Row],[chargerPrice]]</f>
        <v>10403</v>
      </c>
      <c r="D70" s="97">
        <v>5039</v>
      </c>
      <c r="E70" s="44" t="s">
        <v>10</v>
      </c>
      <c r="F70" s="43">
        <f>HearingAids7[[#This Row],[haMSRP]]-((HearingAids7[[#This Row],[ListPriceBinural]]-HearingAids7[[#This Row],[chargerPrice]])/2)</f>
        <v>926.5</v>
      </c>
      <c r="G70" s="43">
        <f>HearingAids7[[#This Row],[haMSRP]]-HearingAids7[[#This Row],[Discount Amount 1]]</f>
        <v>4112.5</v>
      </c>
      <c r="H70" s="97">
        <v>8550</v>
      </c>
      <c r="I70" s="75" t="s">
        <v>45</v>
      </c>
      <c r="J70" s="44">
        <v>0</v>
      </c>
      <c r="K70" s="44">
        <f>HearingAids7[[#This Row],[HAListPrice]]-HearingAids7[[#This Row],[Discount Amount 2]]</f>
        <v>4112.5</v>
      </c>
      <c r="L70" s="98">
        <f>HearingAids7[[#This Row],[ListPriceBinural]]</f>
        <v>8550</v>
      </c>
      <c r="M70" s="44"/>
      <c r="N70" s="44"/>
      <c r="O70" s="44"/>
      <c r="P70" s="44"/>
      <c r="Q70" s="45">
        <v>1</v>
      </c>
      <c r="R70" s="45" t="s">
        <v>52</v>
      </c>
      <c r="S70" s="45">
        <v>325</v>
      </c>
      <c r="T70" s="47" t="s">
        <v>55</v>
      </c>
      <c r="U70" s="47">
        <v>0</v>
      </c>
      <c r="V70" s="47" t="s">
        <v>56</v>
      </c>
      <c r="Y70" s="15"/>
      <c r="Z70" s="15"/>
      <c r="AA70" s="15"/>
      <c r="AB70"/>
      <c r="AC70"/>
      <c r="AD70"/>
      <c r="AE70"/>
    </row>
    <row r="71" spans="1:31" ht="15">
      <c r="A71" s="41" t="s">
        <v>562</v>
      </c>
      <c r="B71" s="88" t="s">
        <v>563</v>
      </c>
      <c r="C71" s="42">
        <f>(HearingAids7[[#This Row],[haMSRP]]*2)+HearingAids7[[#This Row],[chargerPrice]]</f>
        <v>12203</v>
      </c>
      <c r="D71" s="97">
        <v>5939</v>
      </c>
      <c r="E71" s="44" t="s">
        <v>10</v>
      </c>
      <c r="F71" s="43">
        <f>HearingAids7[[#This Row],[haMSRP]]-((HearingAids7[[#This Row],[ListPriceBinural]]-HearingAids7[[#This Row],[chargerPrice]])/2)</f>
        <v>1276.5</v>
      </c>
      <c r="G71" s="43">
        <f>HearingAids7[[#This Row],[haMSRP]]-HearingAids7[[#This Row],[Discount Amount 1]]</f>
        <v>4662.5</v>
      </c>
      <c r="H71" s="97">
        <v>9650</v>
      </c>
      <c r="I71" s="75" t="s">
        <v>80</v>
      </c>
      <c r="J71" s="44">
        <v>500</v>
      </c>
      <c r="K71" s="44">
        <f>HearingAids7[[#This Row],[HAListPrice]]-HearingAids7[[#This Row],[Discount Amount 2]]</f>
        <v>4162.5</v>
      </c>
      <c r="L71" s="98">
        <f>HearingAids7[[#This Row],[ListPriceBinural]]-1000</f>
        <v>8650</v>
      </c>
      <c r="M71" s="44"/>
      <c r="N71" s="44"/>
      <c r="O71" s="44"/>
      <c r="P71" s="44"/>
      <c r="Q71" s="45">
        <v>1</v>
      </c>
      <c r="R71" s="45" t="s">
        <v>52</v>
      </c>
      <c r="S71" s="45">
        <v>325</v>
      </c>
      <c r="T71" s="47" t="s">
        <v>55</v>
      </c>
      <c r="U71" s="47">
        <v>0</v>
      </c>
      <c r="V71" s="47" t="s">
        <v>56</v>
      </c>
      <c r="Y71" s="15"/>
      <c r="Z71" s="15"/>
      <c r="AA71" s="15"/>
      <c r="AB71"/>
      <c r="AC71"/>
      <c r="AD71"/>
      <c r="AE71"/>
    </row>
    <row r="72" spans="1:31" ht="15">
      <c r="A72" s="41" t="s">
        <v>566</v>
      </c>
      <c r="B72" s="88" t="s">
        <v>567</v>
      </c>
      <c r="C72" s="42">
        <f>(HearingAids7[[#This Row],[haMSRP]]*2)+HearingAids7[[#This Row],[chargerPrice]]</f>
        <v>8003</v>
      </c>
      <c r="D72" s="97">
        <v>3839</v>
      </c>
      <c r="E72" s="44" t="s">
        <v>10</v>
      </c>
      <c r="F72" s="43">
        <f>HearingAids7[[#This Row],[haMSRP]]-((HearingAids7[[#This Row],[ListPriceBinural]]-HearingAids7[[#This Row],[chargerPrice]])/2)</f>
        <v>276.5</v>
      </c>
      <c r="G72" s="43">
        <f>HearingAids7[[#This Row],[haMSRP]]-HearingAids7[[#This Row],[Discount Amount 1]]</f>
        <v>3562.5</v>
      </c>
      <c r="H72" s="97">
        <v>7450</v>
      </c>
      <c r="I72" s="75" t="s">
        <v>80</v>
      </c>
      <c r="J72" s="44">
        <v>500</v>
      </c>
      <c r="K72" s="44">
        <f>HearingAids7[[#This Row],[HAListPrice]]-HearingAids7[[#This Row],[Discount Amount 2]]</f>
        <v>3062.5</v>
      </c>
      <c r="L72" s="98">
        <f>HearingAids7[[#This Row],[ListPriceBinural]]-1000</f>
        <v>6450</v>
      </c>
      <c r="M72" s="44"/>
      <c r="N72" s="44"/>
      <c r="O72" s="44"/>
      <c r="P72" s="44"/>
      <c r="Q72" s="45">
        <v>1</v>
      </c>
      <c r="R72" s="45" t="s">
        <v>52</v>
      </c>
      <c r="S72" s="45">
        <v>325</v>
      </c>
      <c r="T72" s="47" t="s">
        <v>55</v>
      </c>
      <c r="U72" s="47">
        <v>0</v>
      </c>
      <c r="V72" s="47" t="s">
        <v>56</v>
      </c>
      <c r="Y72" s="15"/>
      <c r="Z72" s="15"/>
      <c r="AA72" s="15"/>
      <c r="AB72"/>
      <c r="AC72"/>
      <c r="AD72"/>
      <c r="AE72"/>
    </row>
    <row r="73" spans="1:31" ht="15">
      <c r="A73" s="41" t="s">
        <v>568</v>
      </c>
      <c r="B73" s="88" t="s">
        <v>569</v>
      </c>
      <c r="C73" s="42">
        <f>(HearingAids7[[#This Row],[haMSRP]]*2)+HearingAids7[[#This Row],[chargerPrice]]</f>
        <v>10403</v>
      </c>
      <c r="D73" s="97">
        <v>5039</v>
      </c>
      <c r="E73" s="44" t="s">
        <v>10</v>
      </c>
      <c r="F73" s="43">
        <f>HearingAids7[[#This Row],[haMSRP]]-((HearingAids7[[#This Row],[ListPriceBinural]]-HearingAids7[[#This Row],[chargerPrice]])/2)</f>
        <v>926.5</v>
      </c>
      <c r="G73" s="43">
        <f>HearingAids7[[#This Row],[haMSRP]]-HearingAids7[[#This Row],[Discount Amount 1]]</f>
        <v>4112.5</v>
      </c>
      <c r="H73" s="97">
        <v>8550</v>
      </c>
      <c r="I73" s="75" t="s">
        <v>80</v>
      </c>
      <c r="J73" s="44">
        <v>500</v>
      </c>
      <c r="K73" s="44">
        <f>HearingAids7[[#This Row],[HAListPrice]]-HearingAids7[[#This Row],[Discount Amount 2]]</f>
        <v>3612.5</v>
      </c>
      <c r="L73" s="98">
        <f>HearingAids7[[#This Row],[ListPriceBinural]]-1000</f>
        <v>7550</v>
      </c>
      <c r="M73" s="44"/>
      <c r="N73" s="44"/>
      <c r="O73" s="44"/>
      <c r="P73" s="44"/>
      <c r="Q73" s="45">
        <v>1</v>
      </c>
      <c r="R73" s="45" t="s">
        <v>52</v>
      </c>
      <c r="S73" s="45">
        <v>325</v>
      </c>
      <c r="T73" s="47" t="s">
        <v>55</v>
      </c>
      <c r="U73" s="47">
        <v>0</v>
      </c>
      <c r="V73" s="47" t="s">
        <v>56</v>
      </c>
      <c r="W73" s="4"/>
      <c r="Y73" s="15"/>
      <c r="Z73" s="15"/>
      <c r="AA73" s="15"/>
      <c r="AB73"/>
      <c r="AC73"/>
      <c r="AD73"/>
      <c r="AE73"/>
    </row>
    <row r="74" spans="1:31" ht="15">
      <c r="A74" s="41" t="s">
        <v>562</v>
      </c>
      <c r="B74" s="41" t="s">
        <v>563</v>
      </c>
      <c r="C74" s="42">
        <f>(HearingAids7[[#This Row],[haMSRP]]*2)+HearingAids7[[#This Row],[chargerPrice]]</f>
        <v>12203</v>
      </c>
      <c r="D74" s="97">
        <v>5939</v>
      </c>
      <c r="E74" s="44" t="s">
        <v>10</v>
      </c>
      <c r="F74" s="43">
        <f>HearingAids7[[#This Row],[haMSRP]]-((HearingAids7[[#This Row],[ListPriceBinural]]-HearingAids7[[#This Row],[chargerPrice]])/2)</f>
        <v>1276.5</v>
      </c>
      <c r="G74" s="43">
        <f>HearingAids7[[#This Row],[haMSRP]]-HearingAids7[[#This Row],[Discount Amount 1]]</f>
        <v>4662.5</v>
      </c>
      <c r="H74" s="97">
        <v>9650</v>
      </c>
      <c r="I74" s="75" t="s">
        <v>83</v>
      </c>
      <c r="J74" s="44">
        <v>925</v>
      </c>
      <c r="K74" s="44">
        <f>HearingAids7[[#This Row],[HAListPrice]]-HearingAids7[[#This Row],[Discount Amount 2]]</f>
        <v>3737.5</v>
      </c>
      <c r="L74" s="98">
        <v>8200</v>
      </c>
      <c r="M74" s="75"/>
      <c r="N74" s="44"/>
      <c r="O74" s="75"/>
      <c r="P74" s="44"/>
      <c r="Q74" s="45">
        <v>1</v>
      </c>
      <c r="R74" s="45" t="s">
        <v>52</v>
      </c>
      <c r="S74" s="45">
        <v>325</v>
      </c>
      <c r="T74" s="47" t="s">
        <v>55</v>
      </c>
      <c r="U74" s="47">
        <v>0</v>
      </c>
      <c r="V74" s="47" t="s">
        <v>56</v>
      </c>
      <c r="Y74" s="15"/>
      <c r="Z74" s="15"/>
      <c r="AA74" s="15"/>
      <c r="AB74"/>
      <c r="AC74"/>
      <c r="AD74"/>
      <c r="AE74"/>
    </row>
    <row r="75" spans="1:31" ht="15">
      <c r="A75" s="41" t="s">
        <v>566</v>
      </c>
      <c r="B75" s="41" t="s">
        <v>567</v>
      </c>
      <c r="C75" s="42">
        <f>(HearingAids7[[#This Row],[haMSRP]]*2)+HearingAids7[[#This Row],[chargerPrice]]</f>
        <v>8003</v>
      </c>
      <c r="D75" s="97">
        <v>3839</v>
      </c>
      <c r="E75" s="44" t="s">
        <v>10</v>
      </c>
      <c r="F75" s="43">
        <f>HearingAids7[[#This Row],[haMSRP]]-((HearingAids7[[#This Row],[ListPriceBinural]]-HearingAids7[[#This Row],[chargerPrice]])/2)</f>
        <v>276.5</v>
      </c>
      <c r="G75" s="43">
        <f>HearingAids7[[#This Row],[haMSRP]]-HearingAids7[[#This Row],[Discount Amount 1]]</f>
        <v>3562.5</v>
      </c>
      <c r="H75" s="97">
        <v>7450</v>
      </c>
      <c r="I75" s="75" t="s">
        <v>83</v>
      </c>
      <c r="J75" s="44">
        <v>525</v>
      </c>
      <c r="K75" s="44">
        <f>HearingAids7[[#This Row],[HAListPrice]]-HearingAids7[[#This Row],[Discount Amount 2]]</f>
        <v>3037.5</v>
      </c>
      <c r="L75" s="98">
        <v>6400</v>
      </c>
      <c r="M75" s="75"/>
      <c r="N75" s="44"/>
      <c r="O75" s="75"/>
      <c r="P75" s="44"/>
      <c r="Q75" s="45">
        <v>1</v>
      </c>
      <c r="R75" s="45" t="s">
        <v>52</v>
      </c>
      <c r="S75" s="45">
        <v>325</v>
      </c>
      <c r="T75" s="47" t="s">
        <v>55</v>
      </c>
      <c r="U75" s="47">
        <v>0</v>
      </c>
      <c r="V75" s="47" t="s">
        <v>56</v>
      </c>
      <c r="Y75" s="15"/>
      <c r="Z75" s="15"/>
      <c r="AA75" s="15"/>
      <c r="AB75"/>
      <c r="AC75"/>
      <c r="AD75"/>
      <c r="AE75"/>
    </row>
    <row r="76" spans="1:31" ht="15">
      <c r="A76" s="41" t="s">
        <v>568</v>
      </c>
      <c r="B76" s="41" t="s">
        <v>569</v>
      </c>
      <c r="C76" s="42">
        <f>(HearingAids7[[#This Row],[haMSRP]]*2)+HearingAids7[[#This Row],[chargerPrice]]</f>
        <v>10403</v>
      </c>
      <c r="D76" s="97">
        <v>5039</v>
      </c>
      <c r="E76" s="44" t="s">
        <v>10</v>
      </c>
      <c r="F76" s="43">
        <f>HearingAids7[[#This Row],[haMSRP]]-((HearingAids7[[#This Row],[ListPriceBinural]]-HearingAids7[[#This Row],[chargerPrice]])/2)</f>
        <v>926.5</v>
      </c>
      <c r="G76" s="43">
        <f>HearingAids7[[#This Row],[haMSRP]]-HearingAids7[[#This Row],[Discount Amount 1]]</f>
        <v>4112.5</v>
      </c>
      <c r="H76" s="97">
        <v>8550</v>
      </c>
      <c r="I76" s="75" t="s">
        <v>83</v>
      </c>
      <c r="J76" s="44">
        <v>625</v>
      </c>
      <c r="K76" s="44">
        <f>HearingAids7[[#This Row],[HAListPrice]]-HearingAids7[[#This Row],[Discount Amount 2]]</f>
        <v>3487.5</v>
      </c>
      <c r="L76" s="98">
        <v>7300</v>
      </c>
      <c r="M76" s="75"/>
      <c r="N76" s="44"/>
      <c r="O76" s="75"/>
      <c r="P76" s="44"/>
      <c r="Q76" s="45">
        <v>1</v>
      </c>
      <c r="R76" s="45" t="s">
        <v>52</v>
      </c>
      <c r="S76" s="45">
        <v>325</v>
      </c>
      <c r="T76" s="47" t="s">
        <v>55</v>
      </c>
      <c r="U76" s="47">
        <v>0</v>
      </c>
      <c r="V76" s="47" t="s">
        <v>56</v>
      </c>
      <c r="Y76" s="15"/>
      <c r="Z76" s="15"/>
      <c r="AA76" s="15"/>
      <c r="AB76"/>
      <c r="AC76"/>
      <c r="AD76"/>
      <c r="AE76"/>
    </row>
    <row r="77" spans="1:31" ht="15">
      <c r="A77" s="77" t="s">
        <v>89</v>
      </c>
      <c r="B77" s="83" t="s">
        <v>90</v>
      </c>
      <c r="C77" s="42">
        <f>(HearingAids7[[#This Row],[haMSRP]]*2)+HearingAids7[[#This Row],[chargerPrice]]</f>
        <v>6043</v>
      </c>
      <c r="D77" s="97">
        <v>2909</v>
      </c>
      <c r="E77" s="78" t="s">
        <v>10</v>
      </c>
      <c r="F77" s="43">
        <f>HearingAids7[[#This Row],[haMSRP]]-((HearingAids7[[#This Row],[ListPriceBinural]]-HearingAids7[[#This Row],[chargerPrice]])/2)</f>
        <v>-112.5</v>
      </c>
      <c r="G77" s="43">
        <f>HearingAids7[[#This Row],[haMSRP]]-HearingAids7[[#This Row],[Discount Amount 1]]</f>
        <v>3021.5</v>
      </c>
      <c r="H77" s="97">
        <v>6268</v>
      </c>
      <c r="I77" s="76" t="s">
        <v>4</v>
      </c>
      <c r="J77" s="43">
        <f>(HearingAids7[[#This Row],[haMSRP]]-HearingAids7[[#This Row],[Discount Amount 1]])-(HearingAids7[[#This Row],[haNetPriceBinural]]-HearingAids7[[#This Row],[chargerPrice]])/2</f>
        <v>1935</v>
      </c>
      <c r="K77" s="44">
        <f>HearingAids7[[#This Row],[HAListPrice]]-HearingAids7[[#This Row],[Discount Amount 2]]</f>
        <v>1086.5</v>
      </c>
      <c r="L77" s="98">
        <f>1199*2</f>
        <v>2398</v>
      </c>
      <c r="M77" s="78"/>
      <c r="N77" s="78">
        <f>((HearingAids7[[#This Row],[haNetPriceBinural]]-HearingAids7[[#This Row],[chargerPrice]])/2)-HearingAids7[[#This Row],[haNetPriceBinural2]]</f>
        <v>1086.5</v>
      </c>
      <c r="O77" s="78">
        <f>HearingAids7[[#This Row],[haNetPrice]]-HearingAids7[[#This Row],[Discount Amount 3]]</f>
        <v>0</v>
      </c>
      <c r="P77" s="78"/>
      <c r="Q77" s="79">
        <v>1</v>
      </c>
      <c r="R77" s="89" t="s">
        <v>49</v>
      </c>
      <c r="S77" s="84">
        <v>225</v>
      </c>
      <c r="T77" s="85" t="s">
        <v>61</v>
      </c>
      <c r="U77" s="78">
        <v>0</v>
      </c>
      <c r="V77" s="51" t="s">
        <v>56</v>
      </c>
      <c r="X77" s="43"/>
      <c r="Y77" s="43"/>
      <c r="Z77" s="43"/>
      <c r="AA77" s="43"/>
      <c r="AB77" s="43"/>
      <c r="AC77" s="43"/>
      <c r="AD77" s="43"/>
    </row>
    <row r="78" spans="1:31" ht="15">
      <c r="A78" s="77" t="s">
        <v>91</v>
      </c>
      <c r="B78" s="83" t="s">
        <v>92</v>
      </c>
      <c r="C78" s="42">
        <f>(HearingAids7[[#This Row],[haMSRP]]*2)+HearingAids7[[#This Row],[chargerPrice]]</f>
        <v>7463</v>
      </c>
      <c r="D78" s="97">
        <v>3569</v>
      </c>
      <c r="E78" s="78" t="s">
        <v>10</v>
      </c>
      <c r="F78" s="43">
        <f>HearingAids7[[#This Row],[haMSRP]]-((HearingAids7[[#This Row],[ListPriceBinural]]-HearingAids7[[#This Row],[chargerPrice]])/2)</f>
        <v>-162.5</v>
      </c>
      <c r="G78" s="43">
        <f>HearingAids7[[#This Row],[haMSRP]]-HearingAids7[[#This Row],[Discount Amount 1]]</f>
        <v>3731.5</v>
      </c>
      <c r="H78" s="97">
        <v>7788</v>
      </c>
      <c r="I78" s="76" t="s">
        <v>4</v>
      </c>
      <c r="J78" s="43">
        <f>(HearingAids7[[#This Row],[haMSRP]]-HearingAids7[[#This Row],[Discount Amount 1]])-(HearingAids7[[#This Row],[haNetPriceBinural]]-HearingAids7[[#This Row],[chargerPrice]])/2</f>
        <v>2095</v>
      </c>
      <c r="K78" s="44">
        <f>HearingAids7[[#This Row],[HAListPrice]]-HearingAids7[[#This Row],[Discount Amount 2]]</f>
        <v>1636.5</v>
      </c>
      <c r="L78" s="98">
        <f>1799*2</f>
        <v>3598</v>
      </c>
      <c r="M78" s="78"/>
      <c r="N78" s="78">
        <f>((HearingAids7[[#This Row],[haNetPriceBinural]]-HearingAids7[[#This Row],[chargerPrice]])/2)-HearingAids7[[#This Row],[haNetPriceBinural2]]</f>
        <v>1636.5</v>
      </c>
      <c r="O78" s="78">
        <f>HearingAids7[[#This Row],[haNetPrice]]-HearingAids7[[#This Row],[Discount Amount 3]]</f>
        <v>0</v>
      </c>
      <c r="P78" s="78"/>
      <c r="Q78" s="79">
        <v>1</v>
      </c>
      <c r="R78" s="78" t="s">
        <v>52</v>
      </c>
      <c r="S78" s="78">
        <v>325</v>
      </c>
      <c r="T78" s="40" t="s">
        <v>55</v>
      </c>
      <c r="U78" s="78">
        <v>0</v>
      </c>
      <c r="V78" s="51" t="s">
        <v>56</v>
      </c>
      <c r="X78" s="43"/>
      <c r="Y78" s="43"/>
      <c r="Z78" s="43"/>
      <c r="AA78" s="43"/>
      <c r="AB78" s="43"/>
      <c r="AC78" s="43"/>
      <c r="AD78" s="43"/>
    </row>
    <row r="79" spans="1:31" ht="15">
      <c r="A79" s="77" t="s">
        <v>93</v>
      </c>
      <c r="B79" s="83" t="s">
        <v>94</v>
      </c>
      <c r="C79" s="42">
        <f>(HearingAids7[[#This Row],[haMSRP]]*2)+HearingAids7[[#This Row],[chargerPrice]]</f>
        <v>9323</v>
      </c>
      <c r="D79" s="97">
        <v>4499</v>
      </c>
      <c r="E79" s="78" t="s">
        <v>10</v>
      </c>
      <c r="F79" s="43">
        <f>HearingAids7[[#This Row],[haMSRP]]-((HearingAids7[[#This Row],[ListPriceBinural]]-HearingAids7[[#This Row],[chargerPrice]])/2)</f>
        <v>-162.5</v>
      </c>
      <c r="G79" s="43">
        <f>HearingAids7[[#This Row],[haMSRP]]-HearingAids7[[#This Row],[Discount Amount 1]]</f>
        <v>4661.5</v>
      </c>
      <c r="H79" s="97">
        <v>9648</v>
      </c>
      <c r="I79" s="76" t="s">
        <v>4</v>
      </c>
      <c r="J79" s="43">
        <f>(HearingAids7[[#This Row],[haMSRP]]-HearingAids7[[#This Row],[Discount Amount 1]])-(HearingAids7[[#This Row],[haNetPriceBinural]]-HearingAids7[[#This Row],[chargerPrice]])/2</f>
        <v>2575</v>
      </c>
      <c r="K79" s="44">
        <f>HearingAids7[[#This Row],[HAListPrice]]-HearingAids7[[#This Row],[Discount Amount 2]]</f>
        <v>2086.5</v>
      </c>
      <c r="L79" s="98">
        <f>2249*2</f>
        <v>4498</v>
      </c>
      <c r="M79" s="78"/>
      <c r="N79" s="78">
        <f>((HearingAids7[[#This Row],[haNetPriceBinural]]-HearingAids7[[#This Row],[chargerPrice]])/2)-HearingAids7[[#This Row],[haNetPriceBinural2]]</f>
        <v>2086.5</v>
      </c>
      <c r="O79" s="78">
        <f>HearingAids7[[#This Row],[haNetPrice]]-HearingAids7[[#This Row],[Discount Amount 3]]</f>
        <v>0</v>
      </c>
      <c r="P79" s="78"/>
      <c r="Q79" s="79">
        <v>1</v>
      </c>
      <c r="R79" s="78" t="s">
        <v>52</v>
      </c>
      <c r="S79" s="78">
        <v>325</v>
      </c>
      <c r="T79" s="40" t="s">
        <v>55</v>
      </c>
      <c r="U79" s="78">
        <v>0</v>
      </c>
      <c r="V79" s="51" t="s">
        <v>56</v>
      </c>
      <c r="X79" s="43"/>
      <c r="Y79" s="43"/>
      <c r="Z79" s="43"/>
      <c r="AA79" s="43"/>
      <c r="AB79" s="43"/>
      <c r="AC79" s="43"/>
      <c r="AD79" s="43"/>
    </row>
    <row r="80" spans="1:31" ht="15">
      <c r="A80" s="80" t="s">
        <v>1</v>
      </c>
      <c r="B80" s="86" t="s">
        <v>95</v>
      </c>
      <c r="C80" s="42">
        <f>(HearingAids7[[#This Row],[haMSRP]]*2)+HearingAids7[[#This Row],[chargerPrice]]</f>
        <v>11483</v>
      </c>
      <c r="D80" s="97">
        <v>5579</v>
      </c>
      <c r="E80" s="81" t="s">
        <v>10</v>
      </c>
      <c r="F80" s="43">
        <f>HearingAids7[[#This Row],[haMSRP]]-((HearingAids7[[#This Row],[ListPriceBinural]]-HearingAids7[[#This Row],[chargerPrice]])/2)</f>
        <v>-162.5</v>
      </c>
      <c r="G80" s="43">
        <f>HearingAids7[[#This Row],[haMSRP]]-HearingAids7[[#This Row],[Discount Amount 1]]</f>
        <v>5741.5</v>
      </c>
      <c r="H80" s="97">
        <v>11808</v>
      </c>
      <c r="I80" s="87" t="s">
        <v>4</v>
      </c>
      <c r="J80" s="43">
        <f>(HearingAids7[[#This Row],[haMSRP]]-HearingAids7[[#This Row],[Discount Amount 1]])-(HearingAids7[[#This Row],[haNetPriceBinural]]-HearingAids7[[#This Row],[chargerPrice]])/2</f>
        <v>3405</v>
      </c>
      <c r="K80" s="44">
        <f>HearingAids7[[#This Row],[HAListPrice]]-HearingAids7[[#This Row],[Discount Amount 2]]</f>
        <v>2336.5</v>
      </c>
      <c r="L80" s="98">
        <f>2499*2</f>
        <v>4998</v>
      </c>
      <c r="M80" s="81"/>
      <c r="N80" s="81">
        <f>((HearingAids7[[#This Row],[haNetPriceBinural]]-HearingAids7[[#This Row],[chargerPrice]])/2)-HearingAids7[[#This Row],[haNetPriceBinural2]]</f>
        <v>2336.5</v>
      </c>
      <c r="O80" s="81">
        <f>HearingAids7[[#This Row],[haNetPrice]]-HearingAids7[[#This Row],[Discount Amount 3]]</f>
        <v>0</v>
      </c>
      <c r="P80" s="81"/>
      <c r="Q80" s="82">
        <v>1</v>
      </c>
      <c r="R80" s="81" t="s">
        <v>52</v>
      </c>
      <c r="S80" s="81">
        <v>325</v>
      </c>
      <c r="T80" s="94" t="s">
        <v>55</v>
      </c>
      <c r="U80" s="81">
        <v>0</v>
      </c>
      <c r="V80" s="96" t="s">
        <v>56</v>
      </c>
      <c r="X80" s="43"/>
      <c r="Y80" s="43"/>
      <c r="Z80" s="43"/>
      <c r="AA80" s="43"/>
      <c r="AB80" s="43"/>
      <c r="AC80" s="43"/>
      <c r="AD80" s="43"/>
    </row>
    <row r="81" spans="1:30" ht="15">
      <c r="A81" s="41" t="s">
        <v>50</v>
      </c>
      <c r="B81" s="41" t="s">
        <v>51</v>
      </c>
      <c r="C81" s="42">
        <f>(HearingAids7[[#This Row],[haMSRP]]*2)+HearingAids7[[#This Row],[chargerPrice]]</f>
        <v>6623</v>
      </c>
      <c r="D81" s="97">
        <v>3149</v>
      </c>
      <c r="E81" s="44" t="s">
        <v>10</v>
      </c>
      <c r="F81" s="43">
        <f>HearingAids7[[#This Row],[haMSRP]]-((HearingAids7[[#This Row],[ListPriceBinural]]-HearingAids7[[#This Row],[chargerPrice]])/2)</f>
        <v>636.5</v>
      </c>
      <c r="G81" s="43">
        <f>HearingAids7[[#This Row],[haMSRP]]-HearingAids7[[#This Row],[Discount Amount 1]]</f>
        <v>2512.5</v>
      </c>
      <c r="H81" s="97">
        <v>5350</v>
      </c>
      <c r="I81" s="75" t="s">
        <v>64</v>
      </c>
      <c r="J81" s="43">
        <f>(HearingAids7[[#This Row],[haMSRP]]-HearingAids7[[#This Row],[Discount Amount 1]])-(HearingAids7[[#This Row],[haNetPriceBinural]]-HearingAids7[[#This Row],[chargerPrice]])/2</f>
        <v>580</v>
      </c>
      <c r="K81" s="43">
        <f>HearingAids7[[#This Row],[HAListPrice]]-HearingAids7[[#This Row],[Discount Amount 2]]</f>
        <v>1932.5</v>
      </c>
      <c r="L81" s="98">
        <v>4190</v>
      </c>
      <c r="M81" s="43"/>
      <c r="N81" s="43">
        <f>((HearingAids7[[#This Row],[haNetPriceBinural]]-HearingAids7[[#This Row],[chargerPrice]])/2)-HearingAids7[[#This Row],[haNetPriceBinural2]]</f>
        <v>1932.5</v>
      </c>
      <c r="O81" s="43">
        <f>HearingAids7[[#This Row],[haNetPrice]]-HearingAids7[[#This Row],[Discount Amount 3]]</f>
        <v>0</v>
      </c>
      <c r="P81" s="43"/>
      <c r="Q81" s="45">
        <v>1</v>
      </c>
      <c r="R81" s="45" t="s">
        <v>52</v>
      </c>
      <c r="S81" s="45">
        <v>325</v>
      </c>
      <c r="T81" s="47" t="s">
        <v>55</v>
      </c>
      <c r="U81" s="47">
        <v>0</v>
      </c>
      <c r="V81" s="47" t="s">
        <v>56</v>
      </c>
      <c r="X81" s="43"/>
      <c r="Y81" s="43"/>
      <c r="Z81" s="43"/>
      <c r="AA81" s="43"/>
      <c r="AB81" s="43"/>
      <c r="AC81" s="43"/>
      <c r="AD81" s="43"/>
    </row>
    <row r="82" spans="1:30" ht="15">
      <c r="A82" s="41" t="s">
        <v>50</v>
      </c>
      <c r="B82" s="41" t="s">
        <v>51</v>
      </c>
      <c r="C82" s="42">
        <f>(HearingAids7[[#This Row],[haMSRP]]*2)+HearingAids7[[#This Row],[chargerPrice]]</f>
        <v>6623</v>
      </c>
      <c r="D82" s="97">
        <v>3149</v>
      </c>
      <c r="E82" s="44" t="s">
        <v>10</v>
      </c>
      <c r="F82" s="43">
        <f>HearingAids7[[#This Row],[haMSRP]]-((HearingAids7[[#This Row],[ListPriceBinural]]-HearingAids7[[#This Row],[chargerPrice]])/2)</f>
        <v>636.5</v>
      </c>
      <c r="G82" s="43">
        <f>HearingAids7[[#This Row],[haMSRP]]-HearingAids7[[#This Row],[Discount Amount 1]]</f>
        <v>2512.5</v>
      </c>
      <c r="H82" s="97">
        <v>5350</v>
      </c>
      <c r="I82" s="75" t="s">
        <v>76</v>
      </c>
      <c r="J82" s="43">
        <f>(HearingAids7[[#This Row],[haMSRP]]-HearingAids7[[#This Row],[Discount Amount 1]])-(HearingAids7[[#This Row],[haNetPriceBinural]]-HearingAids7[[#This Row],[chargerPrice]])/2</f>
        <v>580</v>
      </c>
      <c r="K82" s="43">
        <f>HearingAids7[[#This Row],[HAListPrice]]-HearingAids7[[#This Row],[Discount Amount 2]]</f>
        <v>1932.5</v>
      </c>
      <c r="L82" s="98">
        <v>4190</v>
      </c>
      <c r="M82" s="43"/>
      <c r="N82" s="43">
        <f>((HearingAids7[[#This Row],[haNetPriceBinural]]-HearingAids7[[#This Row],[chargerPrice]])/2)-HearingAids7[[#This Row],[haNetPriceBinural2]]</f>
        <v>1932.5</v>
      </c>
      <c r="O82" s="43">
        <f>HearingAids7[[#This Row],[haNetPrice]]-HearingAids7[[#This Row],[Discount Amount 3]]</f>
        <v>0</v>
      </c>
      <c r="P82" s="43"/>
      <c r="Q82" s="45">
        <v>1</v>
      </c>
      <c r="R82" s="45" t="s">
        <v>52</v>
      </c>
      <c r="S82" s="45">
        <v>325</v>
      </c>
      <c r="T82" s="47" t="s">
        <v>55</v>
      </c>
      <c r="U82" s="47">
        <v>0</v>
      </c>
      <c r="V82" s="47" t="s">
        <v>56</v>
      </c>
      <c r="X82" s="43"/>
      <c r="Y82" s="43"/>
      <c r="Z82" s="43"/>
      <c r="AA82" s="43"/>
      <c r="AB82" s="43"/>
      <c r="AC82" s="43"/>
      <c r="AD82" s="43"/>
    </row>
    <row r="83" spans="1:30" ht="15">
      <c r="A83" s="41" t="s">
        <v>50</v>
      </c>
      <c r="B83" s="41" t="s">
        <v>51</v>
      </c>
      <c r="C83" s="42">
        <f>(HearingAids7[[#This Row],[haMSRP]]*2)+HearingAids7[[#This Row],[chargerPrice]]</f>
        <v>6623</v>
      </c>
      <c r="D83" s="97">
        <v>3149</v>
      </c>
      <c r="E83" s="44" t="s">
        <v>10</v>
      </c>
      <c r="F83" s="43">
        <f>HearingAids7[[#This Row],[haMSRP]]-((HearingAids7[[#This Row],[ListPriceBinural]]-HearingAids7[[#This Row],[chargerPrice]])/2)</f>
        <v>636.5</v>
      </c>
      <c r="G83" s="43">
        <f>HearingAids7[[#This Row],[haMSRP]]-HearingAids7[[#This Row],[Discount Amount 1]]</f>
        <v>2512.5</v>
      </c>
      <c r="H83" s="97">
        <v>5350</v>
      </c>
      <c r="I83" s="75" t="s">
        <v>77</v>
      </c>
      <c r="J83" s="43">
        <f>(HearingAids7[[#This Row],[haMSRP]]-HearingAids7[[#This Row],[Discount Amount 1]])-(HearingAids7[[#This Row],[haNetPriceBinural]]-HearingAids7[[#This Row],[chargerPrice]])/2</f>
        <v>580</v>
      </c>
      <c r="K83" s="43">
        <f>HearingAids7[[#This Row],[HAListPrice]]-HearingAids7[[#This Row],[Discount Amount 2]]</f>
        <v>1932.5</v>
      </c>
      <c r="L83" s="98">
        <v>4190</v>
      </c>
      <c r="M83" s="43"/>
      <c r="N83" s="43">
        <f>((HearingAids7[[#This Row],[haNetPriceBinural]]-HearingAids7[[#This Row],[chargerPrice]])/2)-HearingAids7[[#This Row],[haNetPriceBinural2]]</f>
        <v>1932.5</v>
      </c>
      <c r="O83" s="43">
        <f>HearingAids7[[#This Row],[haNetPrice]]-HearingAids7[[#This Row],[Discount Amount 3]]</f>
        <v>0</v>
      </c>
      <c r="P83" s="43"/>
      <c r="Q83" s="45">
        <v>1</v>
      </c>
      <c r="R83" s="45" t="s">
        <v>52</v>
      </c>
      <c r="S83" s="45">
        <v>325</v>
      </c>
      <c r="T83" s="47" t="s">
        <v>55</v>
      </c>
      <c r="U83" s="47">
        <v>0</v>
      </c>
      <c r="V83" s="47" t="s">
        <v>56</v>
      </c>
      <c r="X83" s="43"/>
      <c r="Y83" s="43"/>
      <c r="Z83" s="43"/>
      <c r="AA83" s="43"/>
      <c r="AB83" s="43"/>
      <c r="AC83" s="43"/>
      <c r="AD83" s="43"/>
    </row>
    <row r="84" spans="1:30" ht="15">
      <c r="A84" s="41" t="s">
        <v>50</v>
      </c>
      <c r="B84" s="41" t="s">
        <v>51</v>
      </c>
      <c r="C84" s="42">
        <f>(HearingAids7[[#This Row],[haMSRP]]*2)+HearingAids7[[#This Row],[chargerPrice]]</f>
        <v>6623</v>
      </c>
      <c r="D84" s="97">
        <v>3149</v>
      </c>
      <c r="E84" s="44" t="s">
        <v>10</v>
      </c>
      <c r="F84" s="43">
        <f>HearingAids7[[#This Row],[haMSRP]]-((HearingAids7[[#This Row],[ListPriceBinural]]-HearingAids7[[#This Row],[chargerPrice]])/2)</f>
        <v>636.5</v>
      </c>
      <c r="G84" s="43">
        <f>HearingAids7[[#This Row],[haMSRP]]-HearingAids7[[#This Row],[Discount Amount 1]]</f>
        <v>2512.5</v>
      </c>
      <c r="H84" s="97">
        <v>5350</v>
      </c>
      <c r="I84" s="75" t="s">
        <v>78</v>
      </c>
      <c r="J84" s="43">
        <f>(HearingAids7[[#This Row],[haMSRP]]-HearingAids7[[#This Row],[Discount Amount 1]])-(HearingAids7[[#This Row],[haNetPriceBinural]]-HearingAids7[[#This Row],[chargerPrice]])/2</f>
        <v>580</v>
      </c>
      <c r="K84" s="43">
        <f>HearingAids7[[#This Row],[HAListPrice]]-HearingAids7[[#This Row],[Discount Amount 2]]</f>
        <v>1932.5</v>
      </c>
      <c r="L84" s="98">
        <v>4190</v>
      </c>
      <c r="M84" s="43"/>
      <c r="N84" s="43">
        <f>((HearingAids7[[#This Row],[haNetPriceBinural]]-HearingAids7[[#This Row],[chargerPrice]])/2)-HearingAids7[[#This Row],[haNetPriceBinural2]]</f>
        <v>1932.5</v>
      </c>
      <c r="O84" s="43">
        <f>HearingAids7[[#This Row],[haNetPrice]]-HearingAids7[[#This Row],[Discount Amount 3]]</f>
        <v>0</v>
      </c>
      <c r="P84" s="43"/>
      <c r="Q84" s="45">
        <v>1</v>
      </c>
      <c r="R84" s="45" t="s">
        <v>52</v>
      </c>
      <c r="S84" s="45">
        <v>325</v>
      </c>
      <c r="T84" s="47" t="s">
        <v>55</v>
      </c>
      <c r="U84" s="47">
        <v>0</v>
      </c>
      <c r="V84" s="47" t="s">
        <v>56</v>
      </c>
      <c r="X84" s="43"/>
      <c r="Y84" s="43"/>
      <c r="Z84" s="43"/>
      <c r="AA84" s="43"/>
      <c r="AB84" s="43"/>
      <c r="AC84" s="43"/>
      <c r="AD84" s="43"/>
    </row>
    <row r="85" spans="1:30" ht="15">
      <c r="A85" s="41" t="s">
        <v>50</v>
      </c>
      <c r="B85" s="41" t="s">
        <v>51</v>
      </c>
      <c r="C85" s="42">
        <f>(HearingAids7[[#This Row],[haMSRP]]*2)+HearingAids7[[#This Row],[chargerPrice]]</f>
        <v>6623</v>
      </c>
      <c r="D85" s="97">
        <v>3149</v>
      </c>
      <c r="E85" s="44" t="s">
        <v>10</v>
      </c>
      <c r="F85" s="43">
        <f>HearingAids7[[#This Row],[haMSRP]]-((HearingAids7[[#This Row],[ListPriceBinural]]-HearingAids7[[#This Row],[chargerPrice]])/2)</f>
        <v>636.5</v>
      </c>
      <c r="G85" s="43">
        <f>HearingAids7[[#This Row],[haMSRP]]-HearingAids7[[#This Row],[Discount Amount 1]]</f>
        <v>2512.5</v>
      </c>
      <c r="H85" s="97">
        <v>5350</v>
      </c>
      <c r="I85" s="75" t="s">
        <v>81</v>
      </c>
      <c r="J85" s="43">
        <f>(HearingAids7[[#This Row],[haMSRP]]-HearingAids7[[#This Row],[Discount Amount 1]])-(HearingAids7[[#This Row],[haNetPriceBinural]]-HearingAids7[[#This Row],[chargerPrice]])/2</f>
        <v>580</v>
      </c>
      <c r="K85" s="43">
        <f>HearingAids7[[#This Row],[HAListPrice]]-HearingAids7[[#This Row],[Discount Amount 2]]</f>
        <v>1932.5</v>
      </c>
      <c r="L85" s="98">
        <v>4190</v>
      </c>
      <c r="M85" s="43"/>
      <c r="N85" s="43">
        <f>((HearingAids7[[#This Row],[haNetPriceBinural]]-HearingAids7[[#This Row],[chargerPrice]])/2)-HearingAids7[[#This Row],[haNetPriceBinural2]]</f>
        <v>1932.5</v>
      </c>
      <c r="O85" s="43">
        <f>HearingAids7[[#This Row],[haNetPrice]]-HearingAids7[[#This Row],[Discount Amount 3]]</f>
        <v>0</v>
      </c>
      <c r="P85" s="43"/>
      <c r="Q85" s="45">
        <v>1</v>
      </c>
      <c r="R85" s="45" t="s">
        <v>52</v>
      </c>
      <c r="S85" s="45">
        <v>325</v>
      </c>
      <c r="T85" s="47" t="s">
        <v>55</v>
      </c>
      <c r="U85" s="47">
        <v>0</v>
      </c>
      <c r="V85" s="47" t="s">
        <v>56</v>
      </c>
      <c r="X85" s="43"/>
      <c r="Y85" s="43"/>
      <c r="Z85" s="43"/>
      <c r="AA85" s="43"/>
      <c r="AB85" s="43"/>
      <c r="AC85" s="43"/>
      <c r="AD85" s="43"/>
    </row>
    <row r="86" spans="1:30" ht="15">
      <c r="A86" s="41" t="s">
        <v>50</v>
      </c>
      <c r="B86" s="41" t="s">
        <v>51</v>
      </c>
      <c r="C86" s="42">
        <f>(HearingAids7[[#This Row],[haMSRP]]*2)+HearingAids7[[#This Row],[chargerPrice]]</f>
        <v>6623</v>
      </c>
      <c r="D86" s="97">
        <v>3149</v>
      </c>
      <c r="E86" s="44" t="s">
        <v>10</v>
      </c>
      <c r="F86" s="43">
        <f>HearingAids7[[#This Row],[haMSRP]]-((HearingAids7[[#This Row],[ListPriceBinural]]-HearingAids7[[#This Row],[chargerPrice]])/2)</f>
        <v>636.5</v>
      </c>
      <c r="G86" s="43">
        <f>HearingAids7[[#This Row],[haMSRP]]-HearingAids7[[#This Row],[Discount Amount 1]]</f>
        <v>2512.5</v>
      </c>
      <c r="H86" s="97">
        <v>5350</v>
      </c>
      <c r="I86" s="75" t="s">
        <v>82</v>
      </c>
      <c r="J86" s="43">
        <f>(HearingAids7[[#This Row],[haMSRP]]-HearingAids7[[#This Row],[Discount Amount 1]])-(HearingAids7[[#This Row],[haNetPriceBinural]]-HearingAids7[[#This Row],[chargerPrice]])/2</f>
        <v>580</v>
      </c>
      <c r="K86" s="43">
        <f>HearingAids7[[#This Row],[HAListPrice]]-HearingAids7[[#This Row],[Discount Amount 2]]</f>
        <v>1932.5</v>
      </c>
      <c r="L86" s="98">
        <v>4190</v>
      </c>
      <c r="M86" s="43"/>
      <c r="N86" s="43">
        <f>((HearingAids7[[#This Row],[haNetPriceBinural]]-HearingAids7[[#This Row],[chargerPrice]])/2)-HearingAids7[[#This Row],[haNetPriceBinural2]]</f>
        <v>1932.5</v>
      </c>
      <c r="O86" s="43">
        <f>HearingAids7[[#This Row],[haNetPrice]]-HearingAids7[[#This Row],[Discount Amount 3]]</f>
        <v>0</v>
      </c>
      <c r="P86" s="43"/>
      <c r="Q86" s="45">
        <v>1</v>
      </c>
      <c r="R86" s="45" t="s">
        <v>52</v>
      </c>
      <c r="S86" s="45">
        <v>325</v>
      </c>
      <c r="T86" s="47" t="s">
        <v>55</v>
      </c>
      <c r="U86" s="47">
        <v>0</v>
      </c>
      <c r="V86" s="47" t="s">
        <v>56</v>
      </c>
      <c r="X86" s="43"/>
      <c r="Y86" s="43"/>
      <c r="Z86" s="43"/>
      <c r="AA86" s="43"/>
      <c r="AB86" s="43"/>
      <c r="AC86" s="43"/>
      <c r="AD86" s="43"/>
    </row>
    <row r="87" spans="1:30" ht="15">
      <c r="A87" s="41" t="s">
        <v>50</v>
      </c>
      <c r="B87" s="41" t="s">
        <v>51</v>
      </c>
      <c r="C87" s="42">
        <f>(HearingAids7[[#This Row],[haMSRP]]*2)+HearingAids7[[#This Row],[chargerPrice]]</f>
        <v>6623</v>
      </c>
      <c r="D87" s="97">
        <v>3149</v>
      </c>
      <c r="E87" s="44" t="s">
        <v>10</v>
      </c>
      <c r="F87" s="43">
        <f>HearingAids7[[#This Row],[haMSRP]]-((HearingAids7[[#This Row],[ListPriceBinural]]-HearingAids7[[#This Row],[chargerPrice]])/2)</f>
        <v>636.5</v>
      </c>
      <c r="G87" s="43">
        <f>HearingAids7[[#This Row],[haMSRP]]-HearingAids7[[#This Row],[Discount Amount 1]]</f>
        <v>2512.5</v>
      </c>
      <c r="H87" s="97">
        <v>5350</v>
      </c>
      <c r="I87" s="75" t="s">
        <v>85</v>
      </c>
      <c r="J87" s="43">
        <f>(HearingAids7[[#This Row],[haMSRP]]-HearingAids7[[#This Row],[Discount Amount 1]])-(HearingAids7[[#This Row],[haNetPriceBinural]]-HearingAids7[[#This Row],[chargerPrice]])/2</f>
        <v>580</v>
      </c>
      <c r="K87" s="43">
        <f>HearingAids7[[#This Row],[HAListPrice]]-HearingAids7[[#This Row],[Discount Amount 2]]</f>
        <v>1932.5</v>
      </c>
      <c r="L87" s="98">
        <v>4190</v>
      </c>
      <c r="M87" s="43"/>
      <c r="N87" s="43">
        <f>((HearingAids7[[#This Row],[haNetPriceBinural]]-HearingAids7[[#This Row],[chargerPrice]])/2)-HearingAids7[[#This Row],[haNetPriceBinural2]]</f>
        <v>1932.5</v>
      </c>
      <c r="O87" s="43">
        <f>HearingAids7[[#This Row],[haNetPrice]]-HearingAids7[[#This Row],[Discount Amount 3]]</f>
        <v>0</v>
      </c>
      <c r="P87" s="43"/>
      <c r="Q87" s="45">
        <v>1</v>
      </c>
      <c r="R87" s="45" t="s">
        <v>52</v>
      </c>
      <c r="S87" s="45">
        <v>325</v>
      </c>
      <c r="T87" s="47" t="s">
        <v>55</v>
      </c>
      <c r="U87" s="47">
        <v>0</v>
      </c>
      <c r="V87" s="47" t="s">
        <v>56</v>
      </c>
      <c r="X87" s="43"/>
      <c r="Y87" s="43"/>
      <c r="Z87" s="43"/>
      <c r="AA87" s="43"/>
      <c r="AB87" s="43"/>
      <c r="AC87" s="43"/>
      <c r="AD87" s="43"/>
    </row>
    <row r="88" spans="1:30" ht="15">
      <c r="A88" s="41" t="s">
        <v>50</v>
      </c>
      <c r="B88" s="41" t="s">
        <v>51</v>
      </c>
      <c r="C88" s="42">
        <f>(HearingAids7[[#This Row],[haMSRP]]*2)+HearingAids7[[#This Row],[chargerPrice]]</f>
        <v>6623</v>
      </c>
      <c r="D88" s="97">
        <v>3149</v>
      </c>
      <c r="E88" s="44" t="s">
        <v>10</v>
      </c>
      <c r="F88" s="43">
        <f>HearingAids7[[#This Row],[haMSRP]]-((HearingAids7[[#This Row],[ListPriceBinural]]-HearingAids7[[#This Row],[chargerPrice]])/2)</f>
        <v>636.5</v>
      </c>
      <c r="G88" s="43">
        <f>HearingAids7[[#This Row],[haMSRP]]-HearingAids7[[#This Row],[Discount Amount 1]]</f>
        <v>2512.5</v>
      </c>
      <c r="H88" s="97">
        <v>5350</v>
      </c>
      <c r="I88" s="75" t="s">
        <v>86</v>
      </c>
      <c r="J88" s="43">
        <f>(HearingAids7[[#This Row],[haMSRP]]-HearingAids7[[#This Row],[Discount Amount 1]])-(HearingAids7[[#This Row],[haNetPriceBinural]]-HearingAids7[[#This Row],[chargerPrice]])/2</f>
        <v>580</v>
      </c>
      <c r="K88" s="43">
        <f>HearingAids7[[#This Row],[HAListPrice]]-HearingAids7[[#This Row],[Discount Amount 2]]</f>
        <v>1932.5</v>
      </c>
      <c r="L88" s="98">
        <v>4190</v>
      </c>
      <c r="M88" s="43"/>
      <c r="N88" s="43">
        <f>((HearingAids7[[#This Row],[haNetPriceBinural]]-HearingAids7[[#This Row],[chargerPrice]])/2)-HearingAids7[[#This Row],[haNetPriceBinural2]]</f>
        <v>1932.5</v>
      </c>
      <c r="O88" s="43">
        <f>HearingAids7[[#This Row],[haNetPrice]]-HearingAids7[[#This Row],[Discount Amount 3]]</f>
        <v>0</v>
      </c>
      <c r="P88" s="43"/>
      <c r="Q88" s="45">
        <v>1</v>
      </c>
      <c r="R88" s="45" t="s">
        <v>52</v>
      </c>
      <c r="S88" s="45">
        <v>325</v>
      </c>
      <c r="T88" s="47" t="s">
        <v>55</v>
      </c>
      <c r="U88" s="47">
        <v>0</v>
      </c>
      <c r="V88" s="47" t="s">
        <v>56</v>
      </c>
      <c r="X88" s="43"/>
      <c r="Y88" s="43"/>
      <c r="Z88" s="43"/>
      <c r="AA88" s="43"/>
      <c r="AB88" s="43"/>
      <c r="AC88" s="43"/>
      <c r="AD88" s="43"/>
    </row>
    <row r="89" spans="1:30" ht="15">
      <c r="A89" s="41" t="s">
        <v>50</v>
      </c>
      <c r="B89" s="41" t="s">
        <v>51</v>
      </c>
      <c r="C89" s="42">
        <f>(HearingAids7[[#This Row],[haMSRP]]*2)+HearingAids7[[#This Row],[chargerPrice]]</f>
        <v>6623</v>
      </c>
      <c r="D89" s="97">
        <v>3149</v>
      </c>
      <c r="E89" s="44" t="s">
        <v>10</v>
      </c>
      <c r="F89" s="44">
        <f>HearingAids7[[#This Row],[haMSRP]]-((HearingAids7[[#This Row],[ListPriceBinural]]-HearingAids7[[#This Row],[chargerPrice]])/2)</f>
        <v>636.5</v>
      </c>
      <c r="G89" s="44">
        <f>HearingAids7[[#This Row],[haMSRP]]-HearingAids7[[#This Row],[Discount Amount 1]]</f>
        <v>2512.5</v>
      </c>
      <c r="H89" s="97">
        <v>5350</v>
      </c>
      <c r="I89" s="75" t="s">
        <v>88</v>
      </c>
      <c r="J89" s="44">
        <f>(HearingAids7[[#This Row],[haMSRP]]-HearingAids7[[#This Row],[Discount Amount 1]])-(HearingAids7[[#This Row],[haNetPriceBinural]]-HearingAids7[[#This Row],[chargerPrice]])/2</f>
        <v>580</v>
      </c>
      <c r="K89" s="44">
        <f>HearingAids7[[#This Row],[HAListPrice]]-HearingAids7[[#This Row],[Discount Amount 2]]</f>
        <v>1932.5</v>
      </c>
      <c r="L89" s="98">
        <v>4190</v>
      </c>
      <c r="M89" s="44"/>
      <c r="N89" s="44">
        <f>((HearingAids7[[#This Row],[haNetPriceBinural]]-HearingAids7[[#This Row],[chargerPrice]])/2)-HearingAids7[[#This Row],[haNetPriceBinural2]]</f>
        <v>1932.5</v>
      </c>
      <c r="O89" s="44">
        <f>HearingAids7[[#This Row],[haNetPrice]]-HearingAids7[[#This Row],[Discount Amount 3]]</f>
        <v>0</v>
      </c>
      <c r="P89" s="44"/>
      <c r="Q89" s="45">
        <v>1</v>
      </c>
      <c r="R89" s="45" t="s">
        <v>52</v>
      </c>
      <c r="S89" s="45">
        <v>325</v>
      </c>
      <c r="T89" s="47" t="s">
        <v>55</v>
      </c>
      <c r="U89" s="47">
        <v>0</v>
      </c>
      <c r="V89" s="47" t="s">
        <v>56</v>
      </c>
      <c r="X89" s="43"/>
      <c r="Y89" s="43"/>
      <c r="Z89" s="43"/>
      <c r="AA89" s="43"/>
      <c r="AB89" s="43"/>
      <c r="AC89" s="43"/>
      <c r="AD89" s="43"/>
    </row>
    <row r="90" spans="1:30" ht="12.75">
      <c r="A90" s="41"/>
      <c r="B90" s="41"/>
      <c r="C90" s="41"/>
      <c r="I90" s="43"/>
      <c r="J90" s="43"/>
      <c r="K90" s="43"/>
      <c r="N90" s="43"/>
      <c r="O90" s="43"/>
      <c r="Q90" s="53"/>
      <c r="U90" s="43"/>
      <c r="X90" s="43"/>
      <c r="Y90" s="43"/>
      <c r="Z90" s="43"/>
      <c r="AA90" s="43"/>
      <c r="AB90" s="43"/>
      <c r="AC90" s="43"/>
      <c r="AD90" s="43"/>
    </row>
    <row r="91" spans="1:30" ht="12.75">
      <c r="A91" s="41"/>
      <c r="B91" s="41"/>
      <c r="C91" s="41"/>
      <c r="I91" s="43"/>
      <c r="J91" s="43"/>
      <c r="K91" s="43"/>
      <c r="N91" s="43"/>
      <c r="O91" s="43"/>
      <c r="Q91" s="53"/>
      <c r="U91" s="43"/>
    </row>
    <row r="92" spans="1:30" ht="12.75">
      <c r="A92" s="41"/>
      <c r="B92" s="41"/>
      <c r="C92" s="41"/>
      <c r="I92" s="43"/>
      <c r="J92" s="43"/>
      <c r="K92" s="43"/>
      <c r="N92" s="43"/>
      <c r="O92" s="43"/>
      <c r="Q92" s="53"/>
      <c r="U92" s="43"/>
    </row>
    <row r="93" spans="1:30" ht="12.75">
      <c r="A93" s="41"/>
      <c r="B93" s="41"/>
      <c r="C93" s="41"/>
      <c r="I93" s="43"/>
      <c r="J93" s="43"/>
      <c r="K93" s="43"/>
      <c r="N93" s="43"/>
      <c r="O93" s="43"/>
      <c r="Q93" s="53"/>
      <c r="U93" s="43"/>
    </row>
  </sheetData>
  <phoneticPr fontId="7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7ECC3-A09E-4C86-AA3E-B9664769F460}">
  <dimension ref="A1:I286"/>
  <sheetViews>
    <sheetView topLeftCell="A233" zoomScale="115" zoomScaleNormal="115" workbookViewId="0">
      <selection activeCell="G266" sqref="G266"/>
    </sheetView>
  </sheetViews>
  <sheetFormatPr defaultRowHeight="18.75" customHeight="1"/>
  <cols>
    <col min="1" max="1" width="16.85546875" bestFit="1" customWidth="1"/>
    <col min="2" max="3" width="15.7109375" customWidth="1"/>
    <col min="4" max="4" width="23.85546875" bestFit="1" customWidth="1"/>
    <col min="5" max="5" width="22.7109375" bestFit="1" customWidth="1"/>
    <col min="6" max="6" width="22.7109375" customWidth="1"/>
    <col min="7" max="7" width="23.85546875" style="16" bestFit="1" customWidth="1"/>
    <col min="8" max="8" width="26.85546875" bestFit="1" customWidth="1"/>
    <col min="9" max="9" width="23.28515625" customWidth="1"/>
    <col min="10" max="10" width="26.28515625" customWidth="1"/>
  </cols>
  <sheetData>
    <row r="1" spans="1:9" ht="18.75" customHeight="1">
      <c r="A1" t="s">
        <v>96</v>
      </c>
      <c r="B1" t="s">
        <v>97</v>
      </c>
      <c r="C1" t="s">
        <v>98</v>
      </c>
      <c r="D1" t="s">
        <v>99</v>
      </c>
      <c r="E1" t="s">
        <v>100</v>
      </c>
      <c r="F1" t="s">
        <v>101</v>
      </c>
      <c r="G1" s="16" t="s">
        <v>102</v>
      </c>
      <c r="H1" t="s">
        <v>103</v>
      </c>
      <c r="I1" t="s">
        <v>104</v>
      </c>
    </row>
    <row r="2" spans="1:9" ht="12">
      <c r="A2" s="10" t="s">
        <v>105</v>
      </c>
      <c r="B2" s="7" t="str">
        <f t="shared" ref="B2:B65" si="0">"("&amp;A2&amp;")"</f>
        <v>(CAM-REC-SF3-HP0)</v>
      </c>
      <c r="C2" s="10" t="s">
        <v>106</v>
      </c>
      <c r="D2" s="10" t="s">
        <v>107</v>
      </c>
      <c r="E2" s="10" t="s">
        <v>108</v>
      </c>
      <c r="F2" s="17">
        <v>150</v>
      </c>
      <c r="G2" s="17">
        <v>150</v>
      </c>
      <c r="H2" s="10" t="s">
        <v>64</v>
      </c>
      <c r="I2" s="10">
        <v>0</v>
      </c>
    </row>
    <row r="3" spans="1:9" ht="18.75" customHeight="1">
      <c r="A3" s="10" t="s">
        <v>109</v>
      </c>
      <c r="B3" s="7" t="str">
        <f t="shared" si="0"/>
        <v>(CAM-REC-SF3-HP1)</v>
      </c>
      <c r="C3" s="10" t="s">
        <v>110</v>
      </c>
      <c r="D3" s="10" t="s">
        <v>111</v>
      </c>
      <c r="E3" s="10" t="s">
        <v>112</v>
      </c>
      <c r="F3" s="17">
        <v>150</v>
      </c>
      <c r="G3" s="17">
        <v>150</v>
      </c>
      <c r="H3" s="10" t="s">
        <v>64</v>
      </c>
      <c r="I3" s="10">
        <v>0</v>
      </c>
    </row>
    <row r="4" spans="1:9" ht="18.75" customHeight="1">
      <c r="A4" s="10" t="s">
        <v>113</v>
      </c>
      <c r="B4" s="7" t="str">
        <f t="shared" si="0"/>
        <v>(CAM-REC-SF3-HP2)</v>
      </c>
      <c r="C4" s="10" t="s">
        <v>114</v>
      </c>
      <c r="D4" s="10" t="s">
        <v>115</v>
      </c>
      <c r="E4" s="10" t="s">
        <v>116</v>
      </c>
      <c r="F4" s="17">
        <v>150</v>
      </c>
      <c r="G4" s="17">
        <v>150</v>
      </c>
      <c r="H4" s="10" t="s">
        <v>64</v>
      </c>
      <c r="I4" s="10">
        <v>0</v>
      </c>
    </row>
    <row r="5" spans="1:9" ht="18.75" customHeight="1">
      <c r="A5" s="10" t="s">
        <v>117</v>
      </c>
      <c r="B5" s="7" t="str">
        <f t="shared" si="0"/>
        <v>(CAM-REC-SF3-HP3)</v>
      </c>
      <c r="C5" s="10" t="s">
        <v>118</v>
      </c>
      <c r="D5" s="10" t="s">
        <v>119</v>
      </c>
      <c r="E5" s="10" t="s">
        <v>120</v>
      </c>
      <c r="F5" s="17">
        <v>150</v>
      </c>
      <c r="G5" s="17">
        <v>150</v>
      </c>
      <c r="H5" s="10" t="s">
        <v>64</v>
      </c>
      <c r="I5" s="10">
        <v>0</v>
      </c>
    </row>
    <row r="6" spans="1:9" ht="18.75" customHeight="1">
      <c r="A6" s="10" t="s">
        <v>121</v>
      </c>
      <c r="B6" s="7" t="str">
        <f t="shared" si="0"/>
        <v>(CAM-REC-SF3-HP4)</v>
      </c>
      <c r="C6" s="10" t="s">
        <v>122</v>
      </c>
      <c r="D6" s="10" t="s">
        <v>123</v>
      </c>
      <c r="E6" s="10" t="s">
        <v>124</v>
      </c>
      <c r="F6" s="17">
        <v>150</v>
      </c>
      <c r="G6" s="17">
        <v>150</v>
      </c>
      <c r="H6" s="10" t="s">
        <v>64</v>
      </c>
      <c r="I6" s="10">
        <v>0</v>
      </c>
    </row>
    <row r="7" spans="1:9" ht="18.75" customHeight="1">
      <c r="A7" s="10" t="s">
        <v>125</v>
      </c>
      <c r="B7" s="7" t="str">
        <f t="shared" si="0"/>
        <v>(CAM-REC-SF3-LP0)</v>
      </c>
      <c r="C7" s="10" t="s">
        <v>126</v>
      </c>
      <c r="D7" s="10" t="s">
        <v>127</v>
      </c>
      <c r="E7" s="10" t="s">
        <v>128</v>
      </c>
      <c r="F7" s="17">
        <v>150</v>
      </c>
      <c r="G7" s="17">
        <v>150</v>
      </c>
      <c r="H7" s="10" t="s">
        <v>64</v>
      </c>
      <c r="I7" s="10">
        <v>0</v>
      </c>
    </row>
    <row r="8" spans="1:9" ht="18.75" customHeight="1">
      <c r="A8" s="10" t="s">
        <v>129</v>
      </c>
      <c r="B8" s="7" t="str">
        <f t="shared" si="0"/>
        <v>(CAM-REC-SF3-LP1)</v>
      </c>
      <c r="C8" s="10" t="s">
        <v>130</v>
      </c>
      <c r="D8" s="10" t="s">
        <v>131</v>
      </c>
      <c r="E8" s="10" t="s">
        <v>132</v>
      </c>
      <c r="F8" s="17">
        <v>150</v>
      </c>
      <c r="G8" s="17">
        <v>150</v>
      </c>
      <c r="H8" s="10" t="s">
        <v>64</v>
      </c>
      <c r="I8" s="10">
        <v>0</v>
      </c>
    </row>
    <row r="9" spans="1:9" ht="18.75" customHeight="1">
      <c r="A9" s="10" t="s">
        <v>133</v>
      </c>
      <c r="B9" s="7" t="str">
        <f t="shared" si="0"/>
        <v>(CAM-REC-SF3-LP2)</v>
      </c>
      <c r="C9" s="10" t="s">
        <v>134</v>
      </c>
      <c r="D9" s="10" t="s">
        <v>135</v>
      </c>
      <c r="E9" s="10" t="s">
        <v>136</v>
      </c>
      <c r="F9" s="17">
        <v>150</v>
      </c>
      <c r="G9" s="17">
        <v>150</v>
      </c>
      <c r="H9" s="10" t="s">
        <v>64</v>
      </c>
      <c r="I9" s="10">
        <v>0</v>
      </c>
    </row>
    <row r="10" spans="1:9" ht="18.75" customHeight="1">
      <c r="A10" s="10" t="s">
        <v>137</v>
      </c>
      <c r="B10" s="7" t="str">
        <f t="shared" si="0"/>
        <v>(CAM-REC-SF3-LP3)</v>
      </c>
      <c r="C10" s="10" t="s">
        <v>138</v>
      </c>
      <c r="D10" s="10" t="s">
        <v>139</v>
      </c>
      <c r="E10" s="10" t="s">
        <v>140</v>
      </c>
      <c r="F10" s="17">
        <v>150</v>
      </c>
      <c r="G10" s="17">
        <v>150</v>
      </c>
      <c r="H10" s="10" t="s">
        <v>64</v>
      </c>
      <c r="I10" s="10">
        <v>0</v>
      </c>
    </row>
    <row r="11" spans="1:9" ht="18.75" customHeight="1">
      <c r="A11" s="10" t="s">
        <v>141</v>
      </c>
      <c r="B11" s="7" t="str">
        <f t="shared" si="0"/>
        <v>(CAM-REC-SF3-LP4)</v>
      </c>
      <c r="C11" s="10" t="s">
        <v>142</v>
      </c>
      <c r="D11" s="10" t="s">
        <v>143</v>
      </c>
      <c r="E11" s="10" t="s">
        <v>144</v>
      </c>
      <c r="F11" s="17">
        <v>150</v>
      </c>
      <c r="G11" s="17">
        <v>150</v>
      </c>
      <c r="H11" s="10" t="s">
        <v>64</v>
      </c>
      <c r="I11" s="10">
        <v>0</v>
      </c>
    </row>
    <row r="12" spans="1:9" ht="18.75" customHeight="1">
      <c r="A12" s="10" t="s">
        <v>145</v>
      </c>
      <c r="B12" s="7" t="str">
        <f t="shared" si="0"/>
        <v>(CAM-REC-SF3-MP0)</v>
      </c>
      <c r="C12" s="10" t="s">
        <v>146</v>
      </c>
      <c r="D12" s="10" t="s">
        <v>147</v>
      </c>
      <c r="E12" s="10" t="s">
        <v>148</v>
      </c>
      <c r="F12" s="17">
        <v>150</v>
      </c>
      <c r="G12" s="17">
        <v>150</v>
      </c>
      <c r="H12" s="10" t="s">
        <v>64</v>
      </c>
      <c r="I12" s="10">
        <v>0</v>
      </c>
    </row>
    <row r="13" spans="1:9" ht="18.75" customHeight="1">
      <c r="A13" s="10" t="s">
        <v>149</v>
      </c>
      <c r="B13" s="7" t="str">
        <f t="shared" si="0"/>
        <v>(CAM-REC-SF3-MP1)</v>
      </c>
      <c r="C13" s="10" t="s">
        <v>150</v>
      </c>
      <c r="D13" s="10" t="s">
        <v>151</v>
      </c>
      <c r="E13" s="10" t="s">
        <v>152</v>
      </c>
      <c r="F13" s="17">
        <v>150</v>
      </c>
      <c r="G13" s="17">
        <v>150</v>
      </c>
      <c r="H13" s="10" t="s">
        <v>64</v>
      </c>
      <c r="I13" s="10">
        <v>0</v>
      </c>
    </row>
    <row r="14" spans="1:9" ht="18.75" customHeight="1">
      <c r="A14" s="10" t="s">
        <v>153</v>
      </c>
      <c r="B14" s="7" t="str">
        <f t="shared" si="0"/>
        <v>(CAM-REC-SF3-MP2)</v>
      </c>
      <c r="C14" s="10" t="s">
        <v>154</v>
      </c>
      <c r="D14" s="10" t="s">
        <v>155</v>
      </c>
      <c r="E14" s="10" t="s">
        <v>156</v>
      </c>
      <c r="F14" s="17">
        <v>150</v>
      </c>
      <c r="G14" s="17">
        <v>150</v>
      </c>
      <c r="H14" s="10" t="s">
        <v>64</v>
      </c>
      <c r="I14" s="10">
        <v>0</v>
      </c>
    </row>
    <row r="15" spans="1:9" ht="18.75" customHeight="1">
      <c r="A15" s="10" t="s">
        <v>157</v>
      </c>
      <c r="B15" s="7" t="str">
        <f t="shared" si="0"/>
        <v>(CAM-REC-SF3-MP3)</v>
      </c>
      <c r="C15" s="10" t="s">
        <v>158</v>
      </c>
      <c r="D15" s="10" t="s">
        <v>159</v>
      </c>
      <c r="E15" s="10" t="s">
        <v>160</v>
      </c>
      <c r="F15" s="17">
        <v>150</v>
      </c>
      <c r="G15" s="17">
        <v>150</v>
      </c>
      <c r="H15" s="10" t="s">
        <v>64</v>
      </c>
      <c r="I15" s="10">
        <v>0</v>
      </c>
    </row>
    <row r="16" spans="1:9" ht="18.75" customHeight="1">
      <c r="A16" s="10" t="s">
        <v>161</v>
      </c>
      <c r="B16" s="7" t="str">
        <f t="shared" si="0"/>
        <v>(CAM-REC-SF3-MP4)</v>
      </c>
      <c r="C16" s="10" t="s">
        <v>162</v>
      </c>
      <c r="D16" s="10" t="s">
        <v>163</v>
      </c>
      <c r="E16" s="10" t="s">
        <v>164</v>
      </c>
      <c r="F16" s="17">
        <v>150</v>
      </c>
      <c r="G16" s="17">
        <v>150</v>
      </c>
      <c r="H16" s="10" t="s">
        <v>64</v>
      </c>
      <c r="I16" s="10">
        <v>0</v>
      </c>
    </row>
    <row r="17" spans="1:9" ht="18.75" customHeight="1">
      <c r="A17" s="10" t="s">
        <v>165</v>
      </c>
      <c r="B17" s="7" t="str">
        <f t="shared" si="0"/>
        <v>(ABC-REC-SF3-HP0)</v>
      </c>
      <c r="C17" s="10" t="s">
        <v>106</v>
      </c>
      <c r="D17" s="10" t="s">
        <v>107</v>
      </c>
      <c r="E17" s="10" t="s">
        <v>108</v>
      </c>
      <c r="F17" s="17">
        <v>150</v>
      </c>
      <c r="G17" s="17">
        <v>150</v>
      </c>
      <c r="H17" s="10" t="s">
        <v>166</v>
      </c>
      <c r="I17" s="10">
        <v>0</v>
      </c>
    </row>
    <row r="18" spans="1:9" ht="18.75" customHeight="1">
      <c r="A18" s="10" t="s">
        <v>167</v>
      </c>
      <c r="B18" s="7" t="str">
        <f t="shared" si="0"/>
        <v>(ABC-REC-SF3-HP1)</v>
      </c>
      <c r="C18" s="10" t="s">
        <v>110</v>
      </c>
      <c r="D18" s="10" t="s">
        <v>111</v>
      </c>
      <c r="E18" s="10" t="s">
        <v>112</v>
      </c>
      <c r="F18" s="17">
        <v>150</v>
      </c>
      <c r="G18" s="17">
        <v>150</v>
      </c>
      <c r="H18" s="10" t="s">
        <v>166</v>
      </c>
      <c r="I18" s="10">
        <v>0</v>
      </c>
    </row>
    <row r="19" spans="1:9" ht="18.75" customHeight="1">
      <c r="A19" s="10" t="s">
        <v>168</v>
      </c>
      <c r="B19" s="7" t="str">
        <f t="shared" si="0"/>
        <v>(ABC-REC-SF3-HP2)</v>
      </c>
      <c r="C19" s="10" t="s">
        <v>114</v>
      </c>
      <c r="D19" s="10" t="s">
        <v>115</v>
      </c>
      <c r="E19" s="10" t="s">
        <v>116</v>
      </c>
      <c r="F19" s="17">
        <v>150</v>
      </c>
      <c r="G19" s="17">
        <v>150</v>
      </c>
      <c r="H19" s="10" t="s">
        <v>166</v>
      </c>
      <c r="I19" s="10">
        <v>0</v>
      </c>
    </row>
    <row r="20" spans="1:9" ht="18.75" customHeight="1">
      <c r="A20" s="10" t="s">
        <v>169</v>
      </c>
      <c r="B20" s="7" t="str">
        <f t="shared" si="0"/>
        <v>(ABC-REC-SF3-HP3)</v>
      </c>
      <c r="C20" s="10" t="s">
        <v>118</v>
      </c>
      <c r="D20" s="10" t="s">
        <v>119</v>
      </c>
      <c r="E20" s="10" t="s">
        <v>120</v>
      </c>
      <c r="F20" s="17">
        <v>150</v>
      </c>
      <c r="G20" s="17">
        <v>150</v>
      </c>
      <c r="H20" s="10" t="s">
        <v>166</v>
      </c>
      <c r="I20" s="10">
        <v>0</v>
      </c>
    </row>
    <row r="21" spans="1:9" ht="18.75" customHeight="1">
      <c r="A21" s="10" t="s">
        <v>170</v>
      </c>
      <c r="B21" s="7" t="str">
        <f t="shared" si="0"/>
        <v>(ABC-REC-SF3-HP4)</v>
      </c>
      <c r="C21" s="10" t="s">
        <v>122</v>
      </c>
      <c r="D21" s="10" t="s">
        <v>123</v>
      </c>
      <c r="E21" s="10" t="s">
        <v>124</v>
      </c>
      <c r="F21" s="17">
        <v>150</v>
      </c>
      <c r="G21" s="17">
        <v>150</v>
      </c>
      <c r="H21" s="10" t="s">
        <v>166</v>
      </c>
      <c r="I21" s="10">
        <v>0</v>
      </c>
    </row>
    <row r="22" spans="1:9" ht="18.75" customHeight="1">
      <c r="A22" s="10" t="s">
        <v>171</v>
      </c>
      <c r="B22" s="7" t="str">
        <f t="shared" si="0"/>
        <v>(ABC-REC-SF3-LP0)</v>
      </c>
      <c r="C22" s="10" t="s">
        <v>126</v>
      </c>
      <c r="D22" s="10" t="s">
        <v>127</v>
      </c>
      <c r="E22" s="10" t="s">
        <v>128</v>
      </c>
      <c r="F22" s="17">
        <v>150</v>
      </c>
      <c r="G22" s="17">
        <v>150</v>
      </c>
      <c r="H22" s="10" t="s">
        <v>166</v>
      </c>
      <c r="I22" s="10">
        <v>0</v>
      </c>
    </row>
    <row r="23" spans="1:9" ht="18.75" customHeight="1">
      <c r="A23" s="10" t="s">
        <v>172</v>
      </c>
      <c r="B23" s="7" t="str">
        <f t="shared" si="0"/>
        <v>(ABC-REC-SF3-LP1)</v>
      </c>
      <c r="C23" s="10" t="s">
        <v>130</v>
      </c>
      <c r="D23" s="10" t="s">
        <v>131</v>
      </c>
      <c r="E23" s="10" t="s">
        <v>132</v>
      </c>
      <c r="F23" s="17">
        <v>150</v>
      </c>
      <c r="G23" s="17">
        <v>150</v>
      </c>
      <c r="H23" s="10" t="s">
        <v>166</v>
      </c>
      <c r="I23" s="10">
        <v>0</v>
      </c>
    </row>
    <row r="24" spans="1:9" ht="18.75" customHeight="1">
      <c r="A24" s="10" t="s">
        <v>173</v>
      </c>
      <c r="B24" s="7" t="str">
        <f t="shared" si="0"/>
        <v>(ABC-REC-SF3-LP2)</v>
      </c>
      <c r="C24" s="10" t="s">
        <v>134</v>
      </c>
      <c r="D24" s="10" t="s">
        <v>135</v>
      </c>
      <c r="E24" s="10" t="s">
        <v>136</v>
      </c>
      <c r="F24" s="17">
        <v>150</v>
      </c>
      <c r="G24" s="17">
        <v>150</v>
      </c>
      <c r="H24" s="10" t="s">
        <v>166</v>
      </c>
      <c r="I24" s="10">
        <v>0</v>
      </c>
    </row>
    <row r="25" spans="1:9" ht="18.75" customHeight="1">
      <c r="A25" s="10" t="s">
        <v>174</v>
      </c>
      <c r="B25" s="7" t="str">
        <f t="shared" si="0"/>
        <v>(ABC-REC-SF3-LP3)</v>
      </c>
      <c r="C25" s="10" t="s">
        <v>138</v>
      </c>
      <c r="D25" s="10" t="s">
        <v>139</v>
      </c>
      <c r="E25" s="10" t="s">
        <v>140</v>
      </c>
      <c r="F25" s="17">
        <v>150</v>
      </c>
      <c r="G25" s="17">
        <v>150</v>
      </c>
      <c r="H25" s="10" t="s">
        <v>166</v>
      </c>
      <c r="I25" s="10">
        <v>0</v>
      </c>
    </row>
    <row r="26" spans="1:9" ht="18.75" customHeight="1">
      <c r="A26" s="10" t="s">
        <v>175</v>
      </c>
      <c r="B26" s="7" t="str">
        <f t="shared" si="0"/>
        <v>(ABC-REC-SF3-LP4)</v>
      </c>
      <c r="C26" s="10" t="s">
        <v>142</v>
      </c>
      <c r="D26" s="10" t="s">
        <v>143</v>
      </c>
      <c r="E26" s="10" t="s">
        <v>144</v>
      </c>
      <c r="F26" s="17">
        <v>150</v>
      </c>
      <c r="G26" s="17">
        <v>150</v>
      </c>
      <c r="H26" s="10" t="s">
        <v>166</v>
      </c>
      <c r="I26" s="10">
        <v>0</v>
      </c>
    </row>
    <row r="27" spans="1:9" ht="18.75" customHeight="1">
      <c r="A27" s="10" t="s">
        <v>176</v>
      </c>
      <c r="B27" s="7" t="str">
        <f t="shared" si="0"/>
        <v>(ABC-REC-SF3-MP0)</v>
      </c>
      <c r="C27" s="10" t="s">
        <v>146</v>
      </c>
      <c r="D27" s="10" t="s">
        <v>147</v>
      </c>
      <c r="E27" s="10" t="s">
        <v>148</v>
      </c>
      <c r="F27" s="17">
        <v>150</v>
      </c>
      <c r="G27" s="17">
        <v>150</v>
      </c>
      <c r="H27" s="10" t="s">
        <v>166</v>
      </c>
      <c r="I27" s="10">
        <v>0</v>
      </c>
    </row>
    <row r="28" spans="1:9" ht="18.75" customHeight="1">
      <c r="A28" s="10" t="s">
        <v>177</v>
      </c>
      <c r="B28" s="7" t="str">
        <f t="shared" si="0"/>
        <v>(ABC-REC-SF3-MP1)</v>
      </c>
      <c r="C28" s="10" t="s">
        <v>150</v>
      </c>
      <c r="D28" s="10" t="s">
        <v>151</v>
      </c>
      <c r="E28" s="10" t="s">
        <v>152</v>
      </c>
      <c r="F28" s="17">
        <v>150</v>
      </c>
      <c r="G28" s="17">
        <v>150</v>
      </c>
      <c r="H28" s="10" t="s">
        <v>166</v>
      </c>
      <c r="I28" s="10">
        <v>0</v>
      </c>
    </row>
    <row r="29" spans="1:9" ht="18.75" customHeight="1">
      <c r="A29" s="10" t="s">
        <v>178</v>
      </c>
      <c r="B29" s="7" t="str">
        <f t="shared" si="0"/>
        <v>(ABC-REC-SF3-MP2)</v>
      </c>
      <c r="C29" s="10" t="s">
        <v>154</v>
      </c>
      <c r="D29" s="10" t="s">
        <v>155</v>
      </c>
      <c r="E29" s="10" t="s">
        <v>156</v>
      </c>
      <c r="F29" s="17">
        <v>150</v>
      </c>
      <c r="G29" s="17">
        <v>150</v>
      </c>
      <c r="H29" s="10" t="s">
        <v>166</v>
      </c>
      <c r="I29" s="10">
        <v>0</v>
      </c>
    </row>
    <row r="30" spans="1:9" ht="18.75" customHeight="1">
      <c r="A30" s="10" t="s">
        <v>179</v>
      </c>
      <c r="B30" s="7" t="str">
        <f t="shared" si="0"/>
        <v>(ABC-REC-SF3-MP3)</v>
      </c>
      <c r="C30" s="10" t="s">
        <v>158</v>
      </c>
      <c r="D30" s="10" t="s">
        <v>159</v>
      </c>
      <c r="E30" s="10" t="s">
        <v>160</v>
      </c>
      <c r="F30" s="17">
        <v>150</v>
      </c>
      <c r="G30" s="17">
        <v>150</v>
      </c>
      <c r="H30" s="10" t="s">
        <v>166</v>
      </c>
      <c r="I30" s="10">
        <v>0</v>
      </c>
    </row>
    <row r="31" spans="1:9" ht="18.75" customHeight="1">
      <c r="A31" s="10" t="s">
        <v>180</v>
      </c>
      <c r="B31" s="7" t="str">
        <f t="shared" si="0"/>
        <v>(ELU-REC-MM-1)</v>
      </c>
      <c r="C31" s="10" t="s">
        <v>181</v>
      </c>
      <c r="D31" s="10" t="s">
        <v>182</v>
      </c>
      <c r="E31" s="10" t="s">
        <v>183</v>
      </c>
      <c r="F31" s="17">
        <v>225</v>
      </c>
      <c r="G31" s="17">
        <v>0</v>
      </c>
      <c r="H31" s="10" t="s">
        <v>65</v>
      </c>
      <c r="I31" s="10">
        <v>0</v>
      </c>
    </row>
    <row r="32" spans="1:9" ht="18.75" customHeight="1">
      <c r="A32" s="10" t="s">
        <v>184</v>
      </c>
      <c r="B32" s="7" t="str">
        <f t="shared" si="0"/>
        <v>(ELU-REC-MM-2)</v>
      </c>
      <c r="C32" s="10" t="s">
        <v>185</v>
      </c>
      <c r="D32" s="10" t="s">
        <v>186</v>
      </c>
      <c r="E32" s="10" t="s">
        <v>187</v>
      </c>
      <c r="F32" s="17">
        <v>225</v>
      </c>
      <c r="G32" s="17">
        <v>0</v>
      </c>
      <c r="H32" s="10" t="s">
        <v>65</v>
      </c>
      <c r="I32" s="10">
        <v>0</v>
      </c>
    </row>
    <row r="33" spans="1:9" ht="18.75" customHeight="1">
      <c r="A33" s="10" t="s">
        <v>188</v>
      </c>
      <c r="B33" s="7" t="str">
        <f t="shared" si="0"/>
        <v>(ELU-REC-MM-3)</v>
      </c>
      <c r="C33" s="10" t="s">
        <v>189</v>
      </c>
      <c r="D33" s="10" t="s">
        <v>190</v>
      </c>
      <c r="E33" s="10" t="s">
        <v>191</v>
      </c>
      <c r="F33" s="17">
        <v>225</v>
      </c>
      <c r="G33" s="17">
        <v>0</v>
      </c>
      <c r="H33" s="10" t="s">
        <v>65</v>
      </c>
      <c r="I33" s="10">
        <v>0</v>
      </c>
    </row>
    <row r="34" spans="1:9" ht="18.75" customHeight="1">
      <c r="A34" s="10" t="s">
        <v>192</v>
      </c>
      <c r="B34" s="7" t="str">
        <f t="shared" si="0"/>
        <v>(ELU-REC-MM-4)</v>
      </c>
      <c r="C34" s="10" t="s">
        <v>193</v>
      </c>
      <c r="D34" s="10" t="s">
        <v>194</v>
      </c>
      <c r="E34" s="10" t="s">
        <v>195</v>
      </c>
      <c r="F34" s="17">
        <v>225</v>
      </c>
      <c r="G34" s="17">
        <v>0</v>
      </c>
      <c r="H34" s="10" t="s">
        <v>65</v>
      </c>
      <c r="I34" s="10">
        <v>0</v>
      </c>
    </row>
    <row r="35" spans="1:9" ht="18.75" customHeight="1">
      <c r="A35" s="10" t="s">
        <v>196</v>
      </c>
      <c r="B35" s="7" t="str">
        <f t="shared" si="0"/>
        <v>(ELU-REC-SF3-HP0)</v>
      </c>
      <c r="C35" s="10" t="s">
        <v>106</v>
      </c>
      <c r="D35" s="10" t="s">
        <v>107</v>
      </c>
      <c r="E35" s="10" t="s">
        <v>108</v>
      </c>
      <c r="F35" s="17">
        <v>150</v>
      </c>
      <c r="G35" s="17">
        <v>150</v>
      </c>
      <c r="H35" s="10" t="s">
        <v>65</v>
      </c>
      <c r="I35" s="10">
        <v>0</v>
      </c>
    </row>
    <row r="36" spans="1:9" ht="18.75" customHeight="1">
      <c r="A36" s="10" t="s">
        <v>197</v>
      </c>
      <c r="B36" s="7" t="str">
        <f t="shared" si="0"/>
        <v>(ELU-REC-SF3-HP1)</v>
      </c>
      <c r="C36" s="10" t="s">
        <v>110</v>
      </c>
      <c r="D36" s="10" t="s">
        <v>111</v>
      </c>
      <c r="E36" s="10" t="s">
        <v>112</v>
      </c>
      <c r="F36" s="17">
        <v>150</v>
      </c>
      <c r="G36" s="17">
        <v>150</v>
      </c>
      <c r="H36" s="10" t="s">
        <v>65</v>
      </c>
      <c r="I36" s="10">
        <v>0</v>
      </c>
    </row>
    <row r="37" spans="1:9" ht="18.75" customHeight="1">
      <c r="A37" s="10" t="s">
        <v>198</v>
      </c>
      <c r="B37" s="7" t="str">
        <f t="shared" si="0"/>
        <v>(ELU-REC-SF3-HP2)</v>
      </c>
      <c r="C37" s="10" t="s">
        <v>114</v>
      </c>
      <c r="D37" s="10" t="s">
        <v>115</v>
      </c>
      <c r="E37" s="10" t="s">
        <v>116</v>
      </c>
      <c r="F37" s="17">
        <v>150</v>
      </c>
      <c r="G37" s="17">
        <v>150</v>
      </c>
      <c r="H37" s="10" t="s">
        <v>65</v>
      </c>
      <c r="I37" s="10">
        <v>0</v>
      </c>
    </row>
    <row r="38" spans="1:9" ht="18.75" customHeight="1">
      <c r="A38" s="10" t="s">
        <v>199</v>
      </c>
      <c r="B38" s="7" t="str">
        <f t="shared" si="0"/>
        <v>(ELU-REC-SF3-HP3)</v>
      </c>
      <c r="C38" s="10" t="s">
        <v>118</v>
      </c>
      <c r="D38" s="10" t="s">
        <v>119</v>
      </c>
      <c r="E38" s="10" t="s">
        <v>120</v>
      </c>
      <c r="F38" s="17">
        <v>150</v>
      </c>
      <c r="G38" s="17">
        <v>150</v>
      </c>
      <c r="H38" s="10" t="s">
        <v>65</v>
      </c>
      <c r="I38" s="10">
        <v>0</v>
      </c>
    </row>
    <row r="39" spans="1:9" ht="18.75" customHeight="1">
      <c r="A39" s="10" t="s">
        <v>200</v>
      </c>
      <c r="B39" s="7" t="str">
        <f t="shared" si="0"/>
        <v>(ELU-REC-SF3-HP4)</v>
      </c>
      <c r="C39" s="10" t="s">
        <v>122</v>
      </c>
      <c r="D39" s="10" t="s">
        <v>123</v>
      </c>
      <c r="E39" s="10" t="s">
        <v>124</v>
      </c>
      <c r="F39" s="17">
        <v>150</v>
      </c>
      <c r="G39" s="17">
        <v>150</v>
      </c>
      <c r="H39" s="10" t="s">
        <v>65</v>
      </c>
      <c r="I39" s="10">
        <v>0</v>
      </c>
    </row>
    <row r="40" spans="1:9" ht="18.75" customHeight="1">
      <c r="A40" s="10" t="s">
        <v>201</v>
      </c>
      <c r="B40" s="7" t="str">
        <f t="shared" si="0"/>
        <v>(ELU-REC-SF3-LP0)</v>
      </c>
      <c r="C40" s="10" t="s">
        <v>126</v>
      </c>
      <c r="D40" s="10" t="s">
        <v>127</v>
      </c>
      <c r="E40" s="10" t="s">
        <v>128</v>
      </c>
      <c r="F40" s="17">
        <v>150</v>
      </c>
      <c r="G40" s="17">
        <v>150</v>
      </c>
      <c r="H40" s="10" t="s">
        <v>65</v>
      </c>
      <c r="I40" s="10">
        <v>0</v>
      </c>
    </row>
    <row r="41" spans="1:9" ht="18.75" customHeight="1">
      <c r="A41" s="10" t="s">
        <v>202</v>
      </c>
      <c r="B41" s="7" t="str">
        <f t="shared" si="0"/>
        <v>(ELU-REC-SF3-LP1)</v>
      </c>
      <c r="C41" s="10" t="s">
        <v>130</v>
      </c>
      <c r="D41" s="10" t="s">
        <v>131</v>
      </c>
      <c r="E41" s="10" t="s">
        <v>132</v>
      </c>
      <c r="F41" s="17">
        <v>150</v>
      </c>
      <c r="G41" s="17">
        <v>150</v>
      </c>
      <c r="H41" s="10" t="s">
        <v>65</v>
      </c>
      <c r="I41" s="10">
        <v>0</v>
      </c>
    </row>
    <row r="42" spans="1:9" ht="18.75" customHeight="1">
      <c r="A42" s="10" t="s">
        <v>203</v>
      </c>
      <c r="B42" s="7" t="str">
        <f t="shared" si="0"/>
        <v>(ELU-REC-SF3-LP2)</v>
      </c>
      <c r="C42" s="10" t="s">
        <v>134</v>
      </c>
      <c r="D42" s="10" t="s">
        <v>135</v>
      </c>
      <c r="E42" s="10" t="s">
        <v>136</v>
      </c>
      <c r="F42" s="17">
        <v>150</v>
      </c>
      <c r="G42" s="17">
        <v>150</v>
      </c>
      <c r="H42" s="10" t="s">
        <v>65</v>
      </c>
      <c r="I42" s="10">
        <v>0</v>
      </c>
    </row>
    <row r="43" spans="1:9" ht="18.75" customHeight="1">
      <c r="A43" s="10" t="s">
        <v>204</v>
      </c>
      <c r="B43" s="7" t="str">
        <f t="shared" si="0"/>
        <v>(ELU-REC-SF3-LP3)</v>
      </c>
      <c r="C43" s="10" t="s">
        <v>138</v>
      </c>
      <c r="D43" s="10" t="s">
        <v>139</v>
      </c>
      <c r="E43" s="10" t="s">
        <v>140</v>
      </c>
      <c r="F43" s="17">
        <v>150</v>
      </c>
      <c r="G43" s="17">
        <v>150</v>
      </c>
      <c r="H43" s="10" t="s">
        <v>65</v>
      </c>
      <c r="I43" s="10">
        <v>0</v>
      </c>
    </row>
    <row r="44" spans="1:9" ht="18.75" customHeight="1">
      <c r="A44" s="10" t="s">
        <v>205</v>
      </c>
      <c r="B44" s="7" t="str">
        <f t="shared" si="0"/>
        <v>(ELU-REC-SF3-LP4)</v>
      </c>
      <c r="C44" s="10" t="s">
        <v>142</v>
      </c>
      <c r="D44" s="10" t="s">
        <v>143</v>
      </c>
      <c r="E44" s="10" t="s">
        <v>144</v>
      </c>
      <c r="F44" s="17">
        <v>150</v>
      </c>
      <c r="G44" s="17">
        <v>150</v>
      </c>
      <c r="H44" s="10" t="s">
        <v>65</v>
      </c>
      <c r="I44" s="10">
        <v>0</v>
      </c>
    </row>
    <row r="45" spans="1:9" ht="18.75" customHeight="1">
      <c r="A45" s="10" t="s">
        <v>206</v>
      </c>
      <c r="B45" s="7" t="str">
        <f t="shared" si="0"/>
        <v>(ELU-REC-SF3-MP0)</v>
      </c>
      <c r="C45" s="10" t="s">
        <v>146</v>
      </c>
      <c r="D45" s="10" t="s">
        <v>147</v>
      </c>
      <c r="E45" s="10" t="s">
        <v>148</v>
      </c>
      <c r="F45" s="17">
        <v>150</v>
      </c>
      <c r="G45" s="17">
        <v>150</v>
      </c>
      <c r="H45" s="10" t="s">
        <v>65</v>
      </c>
      <c r="I45" s="10">
        <v>0</v>
      </c>
    </row>
    <row r="46" spans="1:9" ht="18.75" customHeight="1">
      <c r="A46" s="10" t="s">
        <v>207</v>
      </c>
      <c r="B46" s="7" t="str">
        <f t="shared" si="0"/>
        <v>(ELU-REC-SF3-MP1)</v>
      </c>
      <c r="C46" s="10" t="s">
        <v>150</v>
      </c>
      <c r="D46" s="10" t="s">
        <v>151</v>
      </c>
      <c r="E46" s="10" t="s">
        <v>152</v>
      </c>
      <c r="F46" s="17">
        <v>150</v>
      </c>
      <c r="G46" s="17">
        <v>150</v>
      </c>
      <c r="H46" s="10" t="s">
        <v>65</v>
      </c>
      <c r="I46" s="10">
        <v>0</v>
      </c>
    </row>
    <row r="47" spans="1:9" ht="18.75" customHeight="1">
      <c r="A47" s="10" t="s">
        <v>208</v>
      </c>
      <c r="B47" s="7" t="str">
        <f t="shared" si="0"/>
        <v>(ELU-REC-SF3-MP2)</v>
      </c>
      <c r="C47" s="10" t="s">
        <v>154</v>
      </c>
      <c r="D47" s="10" t="s">
        <v>155</v>
      </c>
      <c r="E47" s="10" t="s">
        <v>156</v>
      </c>
      <c r="F47" s="17">
        <v>150</v>
      </c>
      <c r="G47" s="17">
        <v>150</v>
      </c>
      <c r="H47" s="10" t="s">
        <v>65</v>
      </c>
      <c r="I47" s="10">
        <v>0</v>
      </c>
    </row>
    <row r="48" spans="1:9" ht="18.75" customHeight="1">
      <c r="A48" s="10" t="s">
        <v>209</v>
      </c>
      <c r="B48" s="7" t="str">
        <f t="shared" si="0"/>
        <v>(ELU-REC-SF3-MP3)</v>
      </c>
      <c r="C48" s="10" t="s">
        <v>158</v>
      </c>
      <c r="D48" s="10" t="s">
        <v>159</v>
      </c>
      <c r="E48" s="10" t="s">
        <v>160</v>
      </c>
      <c r="F48" s="17">
        <v>150</v>
      </c>
      <c r="G48" s="17">
        <v>150</v>
      </c>
      <c r="H48" s="10" t="s">
        <v>65</v>
      </c>
      <c r="I48" s="10">
        <v>0</v>
      </c>
    </row>
    <row r="49" spans="1:9" ht="18.75" customHeight="1">
      <c r="A49" s="10" t="s">
        <v>210</v>
      </c>
      <c r="B49" s="7" t="str">
        <f t="shared" si="0"/>
        <v>(ELU-REC-SF3-MP4)</v>
      </c>
      <c r="C49" s="10" t="s">
        <v>162</v>
      </c>
      <c r="D49" s="10" t="s">
        <v>163</v>
      </c>
      <c r="E49" s="10" t="s">
        <v>164</v>
      </c>
      <c r="F49" s="17">
        <v>150</v>
      </c>
      <c r="G49" s="17">
        <v>150</v>
      </c>
      <c r="H49" s="10" t="s">
        <v>65</v>
      </c>
      <c r="I49" s="10">
        <v>0</v>
      </c>
    </row>
    <row r="50" spans="1:9" ht="18.75" customHeight="1">
      <c r="A50" s="10" t="s">
        <v>211</v>
      </c>
      <c r="B50" s="7" t="str">
        <f t="shared" si="0"/>
        <v>(FAF-REC-MM-1)</v>
      </c>
      <c r="C50" s="10" t="s">
        <v>181</v>
      </c>
      <c r="D50" s="10" t="s">
        <v>182</v>
      </c>
      <c r="E50" s="10" t="s">
        <v>183</v>
      </c>
      <c r="F50" s="17">
        <v>225</v>
      </c>
      <c r="G50" s="17">
        <v>0</v>
      </c>
      <c r="H50" s="10" t="s">
        <v>75</v>
      </c>
      <c r="I50" s="10">
        <v>0</v>
      </c>
    </row>
    <row r="51" spans="1:9" ht="18.75" customHeight="1">
      <c r="A51" s="10" t="s">
        <v>212</v>
      </c>
      <c r="B51" s="7" t="str">
        <f t="shared" si="0"/>
        <v>(FAF-REC-MM-2)</v>
      </c>
      <c r="C51" s="10" t="s">
        <v>185</v>
      </c>
      <c r="D51" s="10" t="s">
        <v>186</v>
      </c>
      <c r="E51" s="10" t="s">
        <v>187</v>
      </c>
      <c r="F51" s="17">
        <v>225</v>
      </c>
      <c r="G51" s="17">
        <v>0</v>
      </c>
      <c r="H51" s="10" t="s">
        <v>75</v>
      </c>
      <c r="I51" s="10">
        <v>0</v>
      </c>
    </row>
    <row r="52" spans="1:9" ht="18.75" customHeight="1">
      <c r="A52" s="10" t="s">
        <v>213</v>
      </c>
      <c r="B52" s="7" t="str">
        <f t="shared" si="0"/>
        <v>(FAF-REC-MM-3)</v>
      </c>
      <c r="C52" s="10" t="s">
        <v>189</v>
      </c>
      <c r="D52" s="10" t="s">
        <v>190</v>
      </c>
      <c r="E52" s="10" t="s">
        <v>191</v>
      </c>
      <c r="F52" s="17">
        <v>225</v>
      </c>
      <c r="G52" s="17">
        <v>0</v>
      </c>
      <c r="H52" s="10" t="s">
        <v>75</v>
      </c>
      <c r="I52" s="10">
        <v>0</v>
      </c>
    </row>
    <row r="53" spans="1:9" ht="18.75" customHeight="1">
      <c r="A53" s="10" t="s">
        <v>214</v>
      </c>
      <c r="B53" s="7" t="str">
        <f t="shared" si="0"/>
        <v>(FAF-REC-MM-4)</v>
      </c>
      <c r="C53" s="10" t="s">
        <v>193</v>
      </c>
      <c r="D53" s="10" t="s">
        <v>194</v>
      </c>
      <c r="E53" s="10" t="s">
        <v>195</v>
      </c>
      <c r="F53" s="17">
        <v>225</v>
      </c>
      <c r="G53" s="17">
        <v>0</v>
      </c>
      <c r="H53" s="10" t="s">
        <v>75</v>
      </c>
      <c r="I53" s="10">
        <v>0</v>
      </c>
    </row>
    <row r="54" spans="1:9" ht="18.75" customHeight="1">
      <c r="A54" s="10" t="s">
        <v>215</v>
      </c>
      <c r="B54" s="7" t="str">
        <f t="shared" si="0"/>
        <v>(FAF-REC-SF3-HP0)</v>
      </c>
      <c r="C54" s="10" t="s">
        <v>106</v>
      </c>
      <c r="D54" s="10" t="s">
        <v>107</v>
      </c>
      <c r="E54" s="10" t="s">
        <v>108</v>
      </c>
      <c r="F54" s="17">
        <v>150</v>
      </c>
      <c r="G54" s="17">
        <v>150</v>
      </c>
      <c r="H54" s="10" t="s">
        <v>75</v>
      </c>
      <c r="I54" s="10">
        <v>0</v>
      </c>
    </row>
    <row r="55" spans="1:9" ht="18.75" customHeight="1">
      <c r="A55" s="10" t="s">
        <v>216</v>
      </c>
      <c r="B55" s="7" t="str">
        <f t="shared" si="0"/>
        <v>(FAF-REC-SF3-HP1)</v>
      </c>
      <c r="C55" s="10" t="s">
        <v>110</v>
      </c>
      <c r="D55" s="10" t="s">
        <v>111</v>
      </c>
      <c r="E55" s="10" t="s">
        <v>112</v>
      </c>
      <c r="F55" s="17">
        <v>150</v>
      </c>
      <c r="G55" s="17">
        <v>150</v>
      </c>
      <c r="H55" s="10" t="s">
        <v>75</v>
      </c>
      <c r="I55" s="10">
        <v>0</v>
      </c>
    </row>
    <row r="56" spans="1:9" ht="18.75" customHeight="1">
      <c r="A56" s="10" t="s">
        <v>217</v>
      </c>
      <c r="B56" s="7" t="str">
        <f t="shared" si="0"/>
        <v>(FAF-REC-SF3-HP2)</v>
      </c>
      <c r="C56" s="10" t="s">
        <v>114</v>
      </c>
      <c r="D56" s="10" t="s">
        <v>115</v>
      </c>
      <c r="E56" s="10" t="s">
        <v>116</v>
      </c>
      <c r="F56" s="17">
        <v>150</v>
      </c>
      <c r="G56" s="17">
        <v>150</v>
      </c>
      <c r="H56" s="10" t="s">
        <v>75</v>
      </c>
      <c r="I56" s="10">
        <v>0</v>
      </c>
    </row>
    <row r="57" spans="1:9" ht="18.75" customHeight="1">
      <c r="A57" s="10" t="s">
        <v>218</v>
      </c>
      <c r="B57" s="7" t="str">
        <f t="shared" si="0"/>
        <v>(FAF-REC-SF3-HP3)</v>
      </c>
      <c r="C57" s="10" t="s">
        <v>118</v>
      </c>
      <c r="D57" s="10" t="s">
        <v>119</v>
      </c>
      <c r="E57" s="10" t="s">
        <v>120</v>
      </c>
      <c r="F57" s="17">
        <v>150</v>
      </c>
      <c r="G57" s="17">
        <v>150</v>
      </c>
      <c r="H57" s="10" t="s">
        <v>75</v>
      </c>
      <c r="I57" s="10">
        <v>0</v>
      </c>
    </row>
    <row r="58" spans="1:9" ht="18.75" customHeight="1">
      <c r="A58" s="10" t="s">
        <v>219</v>
      </c>
      <c r="B58" s="7" t="str">
        <f t="shared" si="0"/>
        <v>(FAF-REC-SF3-HP4)</v>
      </c>
      <c r="C58" s="10" t="s">
        <v>122</v>
      </c>
      <c r="D58" s="10" t="s">
        <v>123</v>
      </c>
      <c r="E58" s="10" t="s">
        <v>124</v>
      </c>
      <c r="F58" s="17">
        <v>150</v>
      </c>
      <c r="G58" s="17">
        <v>150</v>
      </c>
      <c r="H58" s="10" t="s">
        <v>75</v>
      </c>
      <c r="I58" s="10">
        <v>0</v>
      </c>
    </row>
    <row r="59" spans="1:9" ht="18.75" customHeight="1">
      <c r="A59" s="10" t="s">
        <v>220</v>
      </c>
      <c r="B59" s="7" t="str">
        <f t="shared" si="0"/>
        <v>(FAF-REC-SF3-LP0)</v>
      </c>
      <c r="C59" s="10" t="s">
        <v>126</v>
      </c>
      <c r="D59" s="10" t="s">
        <v>127</v>
      </c>
      <c r="E59" s="10" t="s">
        <v>128</v>
      </c>
      <c r="F59" s="17">
        <v>150</v>
      </c>
      <c r="G59" s="17">
        <v>150</v>
      </c>
      <c r="H59" s="10" t="s">
        <v>75</v>
      </c>
      <c r="I59" s="10">
        <v>0</v>
      </c>
    </row>
    <row r="60" spans="1:9" ht="18.75" customHeight="1">
      <c r="A60" s="10" t="s">
        <v>221</v>
      </c>
      <c r="B60" s="7" t="str">
        <f t="shared" si="0"/>
        <v>(FAF-REC-SF3-LP1)</v>
      </c>
      <c r="C60" s="10" t="s">
        <v>130</v>
      </c>
      <c r="D60" s="10" t="s">
        <v>131</v>
      </c>
      <c r="E60" s="10" t="s">
        <v>132</v>
      </c>
      <c r="F60" s="17">
        <v>150</v>
      </c>
      <c r="G60" s="17">
        <v>150</v>
      </c>
      <c r="H60" s="10" t="s">
        <v>75</v>
      </c>
      <c r="I60" s="10">
        <v>0</v>
      </c>
    </row>
    <row r="61" spans="1:9" ht="18.75" customHeight="1">
      <c r="A61" s="10" t="s">
        <v>222</v>
      </c>
      <c r="B61" s="7" t="str">
        <f t="shared" si="0"/>
        <v>(FAF-REC-SF3-LP2)</v>
      </c>
      <c r="C61" s="10" t="s">
        <v>134</v>
      </c>
      <c r="D61" s="10" t="s">
        <v>135</v>
      </c>
      <c r="E61" s="10" t="s">
        <v>136</v>
      </c>
      <c r="F61" s="17">
        <v>150</v>
      </c>
      <c r="G61" s="17">
        <v>150</v>
      </c>
      <c r="H61" s="10" t="s">
        <v>75</v>
      </c>
      <c r="I61" s="10">
        <v>0</v>
      </c>
    </row>
    <row r="62" spans="1:9" ht="18.75" customHeight="1">
      <c r="A62" s="10" t="s">
        <v>223</v>
      </c>
      <c r="B62" s="7" t="str">
        <f t="shared" si="0"/>
        <v>(FAF-REC-SF3-LP3)</v>
      </c>
      <c r="C62" s="10" t="s">
        <v>138</v>
      </c>
      <c r="D62" s="10" t="s">
        <v>139</v>
      </c>
      <c r="E62" s="10" t="s">
        <v>140</v>
      </c>
      <c r="F62" s="17">
        <v>150</v>
      </c>
      <c r="G62" s="17">
        <v>150</v>
      </c>
      <c r="H62" s="10" t="s">
        <v>75</v>
      </c>
      <c r="I62" s="10">
        <v>0</v>
      </c>
    </row>
    <row r="63" spans="1:9" ht="18.75" customHeight="1">
      <c r="A63" s="10" t="s">
        <v>224</v>
      </c>
      <c r="B63" s="7" t="str">
        <f t="shared" si="0"/>
        <v>(FAF-REC-SF3-LP4)</v>
      </c>
      <c r="C63" s="10" t="s">
        <v>142</v>
      </c>
      <c r="D63" s="10" t="s">
        <v>143</v>
      </c>
      <c r="E63" s="10" t="s">
        <v>144</v>
      </c>
      <c r="F63" s="17">
        <v>150</v>
      </c>
      <c r="G63" s="17">
        <v>150</v>
      </c>
      <c r="H63" s="10" t="s">
        <v>75</v>
      </c>
      <c r="I63" s="10">
        <v>0</v>
      </c>
    </row>
    <row r="64" spans="1:9" ht="18.75" customHeight="1">
      <c r="A64" s="10" t="s">
        <v>225</v>
      </c>
      <c r="B64" s="7" t="str">
        <f t="shared" si="0"/>
        <v>(FAF-REC-SF3-MP0)</v>
      </c>
      <c r="C64" s="10" t="s">
        <v>146</v>
      </c>
      <c r="D64" s="10" t="s">
        <v>147</v>
      </c>
      <c r="E64" s="10" t="s">
        <v>148</v>
      </c>
      <c r="F64" s="17">
        <v>150</v>
      </c>
      <c r="G64" s="17">
        <v>150</v>
      </c>
      <c r="H64" s="10" t="s">
        <v>75</v>
      </c>
      <c r="I64" s="10">
        <v>0</v>
      </c>
    </row>
    <row r="65" spans="1:9" ht="18.75" customHeight="1">
      <c r="A65" s="10" t="s">
        <v>226</v>
      </c>
      <c r="B65" s="7" t="str">
        <f t="shared" si="0"/>
        <v>(FAF-REC-SF3-MP1)</v>
      </c>
      <c r="C65" s="10" t="s">
        <v>150</v>
      </c>
      <c r="D65" s="10" t="s">
        <v>151</v>
      </c>
      <c r="E65" s="10" t="s">
        <v>152</v>
      </c>
      <c r="F65" s="17">
        <v>150</v>
      </c>
      <c r="G65" s="17">
        <v>150</v>
      </c>
      <c r="H65" s="10" t="s">
        <v>75</v>
      </c>
      <c r="I65" s="10">
        <v>0</v>
      </c>
    </row>
    <row r="66" spans="1:9" ht="18.75" customHeight="1">
      <c r="A66" s="10" t="s">
        <v>227</v>
      </c>
      <c r="B66" s="7" t="str">
        <f t="shared" ref="B66:B129" si="1">"("&amp;A66&amp;")"</f>
        <v>(FAF-REC-SF3-MP2)</v>
      </c>
      <c r="C66" s="10" t="s">
        <v>154</v>
      </c>
      <c r="D66" s="10" t="s">
        <v>155</v>
      </c>
      <c r="E66" s="10" t="s">
        <v>156</v>
      </c>
      <c r="F66" s="17">
        <v>150</v>
      </c>
      <c r="G66" s="17">
        <v>150</v>
      </c>
      <c r="H66" s="10" t="s">
        <v>75</v>
      </c>
      <c r="I66" s="10">
        <v>0</v>
      </c>
    </row>
    <row r="67" spans="1:9" ht="18.75" customHeight="1">
      <c r="A67" s="10" t="s">
        <v>228</v>
      </c>
      <c r="B67" s="7" t="str">
        <f t="shared" si="1"/>
        <v>(FAF-REC-SF3-MP3)</v>
      </c>
      <c r="C67" s="10" t="s">
        <v>158</v>
      </c>
      <c r="D67" s="10" t="s">
        <v>159</v>
      </c>
      <c r="E67" s="10" t="s">
        <v>160</v>
      </c>
      <c r="F67" s="17">
        <v>150</v>
      </c>
      <c r="G67" s="17">
        <v>150</v>
      </c>
      <c r="H67" s="10" t="s">
        <v>75</v>
      </c>
      <c r="I67" s="10">
        <v>0</v>
      </c>
    </row>
    <row r="68" spans="1:9" ht="18.75" customHeight="1">
      <c r="A68" s="10" t="s">
        <v>229</v>
      </c>
      <c r="B68" s="7" t="str">
        <f t="shared" si="1"/>
        <v>(FAF-REC-SF3-MP4)</v>
      </c>
      <c r="C68" s="10" t="s">
        <v>162</v>
      </c>
      <c r="D68" s="10" t="s">
        <v>163</v>
      </c>
      <c r="E68" s="10" t="s">
        <v>164</v>
      </c>
      <c r="F68" s="17">
        <v>150</v>
      </c>
      <c r="G68" s="17">
        <v>150</v>
      </c>
      <c r="H68" s="10" t="s">
        <v>75</v>
      </c>
      <c r="I68" s="10">
        <v>0</v>
      </c>
    </row>
    <row r="69" spans="1:9" ht="18.75" customHeight="1">
      <c r="A69" s="10" t="s">
        <v>230</v>
      </c>
      <c r="B69" s="7" t="str">
        <f t="shared" si="1"/>
        <v>(GHB-REC-SF3-HP0)</v>
      </c>
      <c r="C69" s="10" t="s">
        <v>106</v>
      </c>
      <c r="D69" s="10" t="s">
        <v>107</v>
      </c>
      <c r="E69" s="10" t="s">
        <v>108</v>
      </c>
      <c r="F69" s="17">
        <v>150</v>
      </c>
      <c r="G69" s="17">
        <v>150</v>
      </c>
      <c r="H69" s="10" t="s">
        <v>231</v>
      </c>
      <c r="I69" s="10">
        <v>0</v>
      </c>
    </row>
    <row r="70" spans="1:9" ht="18.75" customHeight="1">
      <c r="A70" s="10" t="s">
        <v>232</v>
      </c>
      <c r="B70" s="7" t="str">
        <f t="shared" si="1"/>
        <v>(GHB-REC-SF3-HP1)</v>
      </c>
      <c r="C70" s="10" t="s">
        <v>110</v>
      </c>
      <c r="D70" s="10" t="s">
        <v>111</v>
      </c>
      <c r="E70" s="10" t="s">
        <v>112</v>
      </c>
      <c r="F70" s="17">
        <v>150</v>
      </c>
      <c r="G70" s="17">
        <v>150</v>
      </c>
      <c r="H70" s="10" t="s">
        <v>231</v>
      </c>
      <c r="I70" s="10">
        <v>0</v>
      </c>
    </row>
    <row r="71" spans="1:9" ht="18.75" customHeight="1">
      <c r="A71" s="10" t="s">
        <v>233</v>
      </c>
      <c r="B71" s="7" t="str">
        <f t="shared" si="1"/>
        <v>(GHB-REC-SF3-HP2)</v>
      </c>
      <c r="C71" s="10" t="s">
        <v>114</v>
      </c>
      <c r="D71" s="10" t="s">
        <v>115</v>
      </c>
      <c r="E71" s="10" t="s">
        <v>116</v>
      </c>
      <c r="F71" s="17">
        <v>150</v>
      </c>
      <c r="G71" s="17">
        <v>150</v>
      </c>
      <c r="H71" s="10" t="s">
        <v>231</v>
      </c>
      <c r="I71" s="10">
        <v>0</v>
      </c>
    </row>
    <row r="72" spans="1:9" ht="18.75" customHeight="1">
      <c r="A72" s="10" t="s">
        <v>234</v>
      </c>
      <c r="B72" s="7" t="str">
        <f t="shared" si="1"/>
        <v>(GHB-REC-SF3-HP3)</v>
      </c>
      <c r="C72" s="10" t="s">
        <v>118</v>
      </c>
      <c r="D72" s="10" t="s">
        <v>119</v>
      </c>
      <c r="E72" s="10" t="s">
        <v>120</v>
      </c>
      <c r="F72" s="17">
        <v>150</v>
      </c>
      <c r="G72" s="17">
        <v>150</v>
      </c>
      <c r="H72" s="10" t="s">
        <v>231</v>
      </c>
      <c r="I72" s="10">
        <v>0</v>
      </c>
    </row>
    <row r="73" spans="1:9" ht="18.75" customHeight="1">
      <c r="A73" s="10" t="s">
        <v>235</v>
      </c>
      <c r="B73" s="7" t="str">
        <f t="shared" si="1"/>
        <v>(GHB-REC-SF3-HP4)</v>
      </c>
      <c r="C73" s="10" t="s">
        <v>122</v>
      </c>
      <c r="D73" s="10" t="s">
        <v>123</v>
      </c>
      <c r="E73" s="10" t="s">
        <v>124</v>
      </c>
      <c r="F73" s="17">
        <v>150</v>
      </c>
      <c r="G73" s="17">
        <v>150</v>
      </c>
      <c r="H73" s="10" t="s">
        <v>231</v>
      </c>
      <c r="I73" s="10">
        <v>0</v>
      </c>
    </row>
    <row r="74" spans="1:9" ht="18.75" customHeight="1">
      <c r="A74" s="10" t="s">
        <v>236</v>
      </c>
      <c r="B74" s="7" t="str">
        <f t="shared" si="1"/>
        <v>(GHB-REC-SF3-LP0)</v>
      </c>
      <c r="C74" s="10" t="s">
        <v>126</v>
      </c>
      <c r="D74" s="10" t="s">
        <v>127</v>
      </c>
      <c r="E74" s="10" t="s">
        <v>128</v>
      </c>
      <c r="F74" s="17">
        <v>150</v>
      </c>
      <c r="G74" s="17">
        <v>150</v>
      </c>
      <c r="H74" s="10" t="s">
        <v>231</v>
      </c>
      <c r="I74" s="10">
        <v>0</v>
      </c>
    </row>
    <row r="75" spans="1:9" ht="18.75" customHeight="1">
      <c r="A75" s="10" t="s">
        <v>237</v>
      </c>
      <c r="B75" s="7" t="str">
        <f t="shared" si="1"/>
        <v>(GHB-REC-SF3-LP1)</v>
      </c>
      <c r="C75" s="10" t="s">
        <v>130</v>
      </c>
      <c r="D75" s="10" t="s">
        <v>131</v>
      </c>
      <c r="E75" s="10" t="s">
        <v>132</v>
      </c>
      <c r="F75" s="17">
        <v>150</v>
      </c>
      <c r="G75" s="17">
        <v>150</v>
      </c>
      <c r="H75" s="10" t="s">
        <v>231</v>
      </c>
      <c r="I75" s="10">
        <v>0</v>
      </c>
    </row>
    <row r="76" spans="1:9" ht="18.75" customHeight="1">
      <c r="A76" s="10" t="s">
        <v>238</v>
      </c>
      <c r="B76" s="7" t="str">
        <f t="shared" si="1"/>
        <v>(GHB-REC-SF3-LP2)</v>
      </c>
      <c r="C76" s="10" t="s">
        <v>134</v>
      </c>
      <c r="D76" s="10" t="s">
        <v>135</v>
      </c>
      <c r="E76" s="10" t="s">
        <v>136</v>
      </c>
      <c r="F76" s="17">
        <v>150</v>
      </c>
      <c r="G76" s="17">
        <v>150</v>
      </c>
      <c r="H76" s="10" t="s">
        <v>231</v>
      </c>
      <c r="I76" s="10">
        <v>0</v>
      </c>
    </row>
    <row r="77" spans="1:9" ht="18.75" customHeight="1">
      <c r="A77" s="10" t="s">
        <v>239</v>
      </c>
      <c r="B77" s="7" t="str">
        <f t="shared" si="1"/>
        <v>(GHB-REC-SF3-LP3)</v>
      </c>
      <c r="C77" s="10" t="s">
        <v>138</v>
      </c>
      <c r="D77" s="10" t="s">
        <v>139</v>
      </c>
      <c r="E77" s="10" t="s">
        <v>140</v>
      </c>
      <c r="F77" s="17">
        <v>150</v>
      </c>
      <c r="G77" s="17">
        <v>150</v>
      </c>
      <c r="H77" s="10" t="s">
        <v>231</v>
      </c>
      <c r="I77" s="10">
        <v>0</v>
      </c>
    </row>
    <row r="78" spans="1:9" ht="18.75" customHeight="1">
      <c r="A78" s="10" t="s">
        <v>240</v>
      </c>
      <c r="B78" s="7" t="str">
        <f t="shared" si="1"/>
        <v>(GHB-REC-SF3-LP4)</v>
      </c>
      <c r="C78" s="10" t="s">
        <v>142</v>
      </c>
      <c r="D78" s="10" t="s">
        <v>143</v>
      </c>
      <c r="E78" s="10" t="s">
        <v>144</v>
      </c>
      <c r="F78" s="17">
        <v>150</v>
      </c>
      <c r="G78" s="17">
        <v>150</v>
      </c>
      <c r="H78" s="10" t="s">
        <v>231</v>
      </c>
      <c r="I78" s="10">
        <v>0</v>
      </c>
    </row>
    <row r="79" spans="1:9" ht="18.75" customHeight="1">
      <c r="A79" s="10" t="s">
        <v>241</v>
      </c>
      <c r="B79" s="7" t="str">
        <f t="shared" si="1"/>
        <v>(GHB-REC-SF3-MP0)</v>
      </c>
      <c r="C79" s="10" t="s">
        <v>146</v>
      </c>
      <c r="D79" s="10" t="s">
        <v>147</v>
      </c>
      <c r="E79" s="10" t="s">
        <v>148</v>
      </c>
      <c r="F79" s="17">
        <v>150</v>
      </c>
      <c r="G79" s="17">
        <v>150</v>
      </c>
      <c r="H79" s="10" t="s">
        <v>231</v>
      </c>
      <c r="I79" s="10">
        <v>0</v>
      </c>
    </row>
    <row r="80" spans="1:9" ht="18.75" customHeight="1">
      <c r="A80" s="10" t="s">
        <v>242</v>
      </c>
      <c r="B80" s="7" t="str">
        <f t="shared" si="1"/>
        <v>(GHB-REC-SF3-MP1)</v>
      </c>
      <c r="C80" s="10" t="s">
        <v>150</v>
      </c>
      <c r="D80" s="10" t="s">
        <v>151</v>
      </c>
      <c r="E80" s="10" t="s">
        <v>152</v>
      </c>
      <c r="F80" s="17">
        <v>150</v>
      </c>
      <c r="G80" s="17">
        <v>150</v>
      </c>
      <c r="H80" s="10" t="s">
        <v>231</v>
      </c>
      <c r="I80" s="10">
        <v>0</v>
      </c>
    </row>
    <row r="81" spans="1:9" ht="18.75" customHeight="1">
      <c r="A81" s="10" t="s">
        <v>243</v>
      </c>
      <c r="B81" s="7" t="str">
        <f t="shared" si="1"/>
        <v>(GHB-REC-SF3-MP2)</v>
      </c>
      <c r="C81" s="10" t="s">
        <v>154</v>
      </c>
      <c r="D81" s="10" t="s">
        <v>155</v>
      </c>
      <c r="E81" s="10" t="s">
        <v>156</v>
      </c>
      <c r="F81" s="17">
        <v>150</v>
      </c>
      <c r="G81" s="17">
        <v>150</v>
      </c>
      <c r="H81" s="10" t="s">
        <v>231</v>
      </c>
      <c r="I81" s="10">
        <v>0</v>
      </c>
    </row>
    <row r="82" spans="1:9" ht="18.75" customHeight="1">
      <c r="A82" s="10" t="s">
        <v>244</v>
      </c>
      <c r="B82" s="7" t="str">
        <f t="shared" si="1"/>
        <v>(GHB-REC-SF3-MP3)</v>
      </c>
      <c r="C82" s="10" t="s">
        <v>158</v>
      </c>
      <c r="D82" s="10" t="s">
        <v>159</v>
      </c>
      <c r="E82" s="10" t="s">
        <v>160</v>
      </c>
      <c r="F82" s="17">
        <v>150</v>
      </c>
      <c r="G82" s="17">
        <v>150</v>
      </c>
      <c r="H82" s="10" t="s">
        <v>231</v>
      </c>
      <c r="I82" s="10">
        <v>0</v>
      </c>
    </row>
    <row r="83" spans="1:9" ht="18.75" customHeight="1">
      <c r="A83" s="10" t="s">
        <v>245</v>
      </c>
      <c r="B83" s="7" t="str">
        <f t="shared" si="1"/>
        <v>(GHB-REC-SF3-MP4)</v>
      </c>
      <c r="C83" s="10" t="s">
        <v>162</v>
      </c>
      <c r="D83" s="10" t="s">
        <v>163</v>
      </c>
      <c r="E83" s="10" t="s">
        <v>164</v>
      </c>
      <c r="F83" s="17">
        <v>150</v>
      </c>
      <c r="G83" s="17">
        <v>150</v>
      </c>
      <c r="H83" s="10" t="s">
        <v>231</v>
      </c>
      <c r="I83" s="10">
        <v>0</v>
      </c>
    </row>
    <row r="84" spans="1:9" ht="18.75" customHeight="1">
      <c r="A84" s="10" t="s">
        <v>246</v>
      </c>
      <c r="B84" s="7" t="str">
        <f t="shared" si="1"/>
        <v>(CHS-REC-SF3-HP0)</v>
      </c>
      <c r="C84" s="10" t="s">
        <v>106</v>
      </c>
      <c r="D84" s="10" t="s">
        <v>107</v>
      </c>
      <c r="E84" s="10" t="s">
        <v>108</v>
      </c>
      <c r="F84" s="17">
        <v>150</v>
      </c>
      <c r="G84" s="17">
        <v>150</v>
      </c>
      <c r="H84" s="10" t="s">
        <v>77</v>
      </c>
      <c r="I84" s="10">
        <v>0</v>
      </c>
    </row>
    <row r="85" spans="1:9" ht="18.75" customHeight="1">
      <c r="A85" s="10" t="s">
        <v>247</v>
      </c>
      <c r="B85" s="7" t="str">
        <f t="shared" si="1"/>
        <v>(CHS-REC-SF3-HP1)</v>
      </c>
      <c r="C85" s="10" t="s">
        <v>110</v>
      </c>
      <c r="D85" s="10" t="s">
        <v>111</v>
      </c>
      <c r="E85" s="10" t="s">
        <v>112</v>
      </c>
      <c r="F85" s="17">
        <v>150</v>
      </c>
      <c r="G85" s="17">
        <v>150</v>
      </c>
      <c r="H85" s="10" t="s">
        <v>77</v>
      </c>
      <c r="I85" s="10">
        <v>0</v>
      </c>
    </row>
    <row r="86" spans="1:9" ht="18.75" customHeight="1">
      <c r="A86" s="10" t="s">
        <v>248</v>
      </c>
      <c r="B86" s="7" t="str">
        <f t="shared" si="1"/>
        <v>(CHS-REC-SF3-HP2)</v>
      </c>
      <c r="C86" s="10" t="s">
        <v>114</v>
      </c>
      <c r="D86" s="10" t="s">
        <v>115</v>
      </c>
      <c r="E86" s="10" t="s">
        <v>116</v>
      </c>
      <c r="F86" s="17">
        <v>150</v>
      </c>
      <c r="G86" s="17">
        <v>150</v>
      </c>
      <c r="H86" s="10" t="s">
        <v>77</v>
      </c>
      <c r="I86" s="10">
        <v>0</v>
      </c>
    </row>
    <row r="87" spans="1:9" ht="18.75" customHeight="1">
      <c r="A87" s="10" t="s">
        <v>249</v>
      </c>
      <c r="B87" s="7" t="str">
        <f t="shared" si="1"/>
        <v>(CHS-REC-SF3-HP3)</v>
      </c>
      <c r="C87" s="10" t="s">
        <v>118</v>
      </c>
      <c r="D87" s="10" t="s">
        <v>119</v>
      </c>
      <c r="E87" s="10" t="s">
        <v>120</v>
      </c>
      <c r="F87" s="17">
        <v>150</v>
      </c>
      <c r="G87" s="17">
        <v>150</v>
      </c>
      <c r="H87" s="10" t="s">
        <v>77</v>
      </c>
      <c r="I87" s="10">
        <v>0</v>
      </c>
    </row>
    <row r="88" spans="1:9" ht="18.75" customHeight="1">
      <c r="A88" s="10" t="s">
        <v>250</v>
      </c>
      <c r="B88" s="7" t="str">
        <f t="shared" si="1"/>
        <v>(CHS-REC-SF3-HP4)</v>
      </c>
      <c r="C88" s="10" t="s">
        <v>122</v>
      </c>
      <c r="D88" s="10" t="s">
        <v>123</v>
      </c>
      <c r="E88" s="10" t="s">
        <v>124</v>
      </c>
      <c r="F88" s="17">
        <v>150</v>
      </c>
      <c r="G88" s="17">
        <v>150</v>
      </c>
      <c r="H88" s="10" t="s">
        <v>77</v>
      </c>
      <c r="I88" s="10">
        <v>0</v>
      </c>
    </row>
    <row r="89" spans="1:9" ht="18.75" customHeight="1">
      <c r="A89" s="10" t="s">
        <v>251</v>
      </c>
      <c r="B89" s="7" t="str">
        <f t="shared" si="1"/>
        <v>(CHS-REC-SF3-LP0)</v>
      </c>
      <c r="C89" s="10" t="s">
        <v>126</v>
      </c>
      <c r="D89" s="10" t="s">
        <v>127</v>
      </c>
      <c r="E89" s="10" t="s">
        <v>128</v>
      </c>
      <c r="F89" s="17">
        <v>150</v>
      </c>
      <c r="G89" s="17">
        <v>150</v>
      </c>
      <c r="H89" s="10" t="s">
        <v>77</v>
      </c>
      <c r="I89" s="10">
        <v>0</v>
      </c>
    </row>
    <row r="90" spans="1:9" ht="18.75" customHeight="1">
      <c r="A90" s="10" t="s">
        <v>252</v>
      </c>
      <c r="B90" s="7" t="str">
        <f t="shared" si="1"/>
        <v>(CHS-REC-SF3-LP1)</v>
      </c>
      <c r="C90" s="10" t="s">
        <v>130</v>
      </c>
      <c r="D90" s="10" t="s">
        <v>131</v>
      </c>
      <c r="E90" s="10" t="s">
        <v>132</v>
      </c>
      <c r="F90" s="17">
        <v>150</v>
      </c>
      <c r="G90" s="17">
        <v>150</v>
      </c>
      <c r="H90" s="10" t="s">
        <v>77</v>
      </c>
      <c r="I90" s="10">
        <v>0</v>
      </c>
    </row>
    <row r="91" spans="1:9" ht="18.75" customHeight="1">
      <c r="A91" s="10" t="s">
        <v>253</v>
      </c>
      <c r="B91" s="7" t="str">
        <f t="shared" si="1"/>
        <v>(CHS-REC-SF3-LP2)</v>
      </c>
      <c r="C91" s="10" t="s">
        <v>134</v>
      </c>
      <c r="D91" s="10" t="s">
        <v>135</v>
      </c>
      <c r="E91" s="10" t="s">
        <v>136</v>
      </c>
      <c r="F91" s="17">
        <v>150</v>
      </c>
      <c r="G91" s="17">
        <v>150</v>
      </c>
      <c r="H91" s="10" t="s">
        <v>77</v>
      </c>
      <c r="I91" s="10">
        <v>0</v>
      </c>
    </row>
    <row r="92" spans="1:9" ht="18.75" customHeight="1">
      <c r="A92" s="10" t="s">
        <v>254</v>
      </c>
      <c r="B92" s="7" t="str">
        <f t="shared" si="1"/>
        <v>(CHS-REC-SF3-LP3)</v>
      </c>
      <c r="C92" s="10" t="s">
        <v>138</v>
      </c>
      <c r="D92" s="10" t="s">
        <v>139</v>
      </c>
      <c r="E92" s="10" t="s">
        <v>140</v>
      </c>
      <c r="F92" s="17">
        <v>150</v>
      </c>
      <c r="G92" s="17">
        <v>150</v>
      </c>
      <c r="H92" s="10" t="s">
        <v>77</v>
      </c>
      <c r="I92" s="10">
        <v>0</v>
      </c>
    </row>
    <row r="93" spans="1:9" ht="18.75" customHeight="1">
      <c r="A93" s="10" t="s">
        <v>255</v>
      </c>
      <c r="B93" s="7" t="str">
        <f t="shared" si="1"/>
        <v>(CHS-REC-SF3-LP4)</v>
      </c>
      <c r="C93" s="10" t="s">
        <v>142</v>
      </c>
      <c r="D93" s="10" t="s">
        <v>143</v>
      </c>
      <c r="E93" s="10" t="s">
        <v>144</v>
      </c>
      <c r="F93" s="17">
        <v>150</v>
      </c>
      <c r="G93" s="17">
        <v>150</v>
      </c>
      <c r="H93" s="10" t="s">
        <v>77</v>
      </c>
      <c r="I93" s="10">
        <v>0</v>
      </c>
    </row>
    <row r="94" spans="1:9" ht="18.75" customHeight="1">
      <c r="A94" s="10" t="s">
        <v>256</v>
      </c>
      <c r="B94" s="7" t="str">
        <f t="shared" si="1"/>
        <v>(CHS-REC-SF3-MP0)</v>
      </c>
      <c r="C94" s="10" t="s">
        <v>146</v>
      </c>
      <c r="D94" s="10" t="s">
        <v>147</v>
      </c>
      <c r="E94" s="10" t="s">
        <v>148</v>
      </c>
      <c r="F94" s="17">
        <v>150</v>
      </c>
      <c r="G94" s="17">
        <v>150</v>
      </c>
      <c r="H94" s="10" t="s">
        <v>77</v>
      </c>
      <c r="I94" s="10">
        <v>0</v>
      </c>
    </row>
    <row r="95" spans="1:9" ht="18.75" customHeight="1">
      <c r="A95" s="10" t="s">
        <v>257</v>
      </c>
      <c r="B95" s="7" t="str">
        <f t="shared" si="1"/>
        <v>(CHS-REC-SF3-MP1)</v>
      </c>
      <c r="C95" s="10" t="s">
        <v>150</v>
      </c>
      <c r="D95" s="10" t="s">
        <v>151</v>
      </c>
      <c r="E95" s="10" t="s">
        <v>152</v>
      </c>
      <c r="F95" s="17">
        <v>150</v>
      </c>
      <c r="G95" s="17">
        <v>150</v>
      </c>
      <c r="H95" s="10" t="s">
        <v>77</v>
      </c>
      <c r="I95" s="10">
        <v>0</v>
      </c>
    </row>
    <row r="96" spans="1:9" ht="18.75" customHeight="1">
      <c r="A96" s="10" t="s">
        <v>258</v>
      </c>
      <c r="B96" s="7" t="str">
        <f t="shared" si="1"/>
        <v>(CHS-REC-SF3-MP2)</v>
      </c>
      <c r="C96" s="10" t="s">
        <v>154</v>
      </c>
      <c r="D96" s="10" t="s">
        <v>155</v>
      </c>
      <c r="E96" s="10" t="s">
        <v>156</v>
      </c>
      <c r="F96" s="17">
        <v>150</v>
      </c>
      <c r="G96" s="17">
        <v>150</v>
      </c>
      <c r="H96" s="10" t="s">
        <v>77</v>
      </c>
      <c r="I96" s="10">
        <v>0</v>
      </c>
    </row>
    <row r="97" spans="1:9" ht="18.75" customHeight="1">
      <c r="A97" s="10" t="s">
        <v>259</v>
      </c>
      <c r="B97" s="7" t="str">
        <f t="shared" si="1"/>
        <v>(CHS-REC-SF3-MP3)</v>
      </c>
      <c r="C97" s="10" t="s">
        <v>158</v>
      </c>
      <c r="D97" s="10" t="s">
        <v>159</v>
      </c>
      <c r="E97" s="10" t="s">
        <v>160</v>
      </c>
      <c r="F97" s="17">
        <v>150</v>
      </c>
      <c r="G97" s="17">
        <v>150</v>
      </c>
      <c r="H97" s="10" t="s">
        <v>77</v>
      </c>
      <c r="I97" s="10">
        <v>0</v>
      </c>
    </row>
    <row r="98" spans="1:9" ht="18.75" customHeight="1">
      <c r="A98" s="10" t="s">
        <v>260</v>
      </c>
      <c r="B98" s="7" t="str">
        <f t="shared" si="1"/>
        <v>(CHS-REC-SF3-MP4)</v>
      </c>
      <c r="C98" s="10" t="s">
        <v>162</v>
      </c>
      <c r="D98" s="10" t="s">
        <v>163</v>
      </c>
      <c r="E98" s="10" t="s">
        <v>164</v>
      </c>
      <c r="F98" s="17">
        <v>150</v>
      </c>
      <c r="G98" s="17">
        <v>150</v>
      </c>
      <c r="H98" s="10" t="s">
        <v>77</v>
      </c>
      <c r="I98" s="10">
        <v>0</v>
      </c>
    </row>
    <row r="99" spans="1:9" ht="18.75" customHeight="1">
      <c r="A99" s="10" t="s">
        <v>261</v>
      </c>
      <c r="B99" s="7" t="str">
        <f t="shared" si="1"/>
        <v>(CHU-REC-SF3-HP0)</v>
      </c>
      <c r="C99" s="10" t="s">
        <v>106</v>
      </c>
      <c r="D99" s="10" t="s">
        <v>107</v>
      </c>
      <c r="E99" s="10" t="s">
        <v>108</v>
      </c>
      <c r="F99" s="17">
        <v>150</v>
      </c>
      <c r="G99" s="17">
        <v>150</v>
      </c>
      <c r="H99" s="10" t="s">
        <v>78</v>
      </c>
      <c r="I99" s="10">
        <v>0</v>
      </c>
    </row>
    <row r="100" spans="1:9" ht="18.75" customHeight="1">
      <c r="A100" s="10" t="s">
        <v>262</v>
      </c>
      <c r="B100" s="7" t="str">
        <f t="shared" si="1"/>
        <v>(CHU-REC-SF3-HP1)</v>
      </c>
      <c r="C100" s="10" t="s">
        <v>110</v>
      </c>
      <c r="D100" s="10" t="s">
        <v>111</v>
      </c>
      <c r="E100" s="10" t="s">
        <v>112</v>
      </c>
      <c r="F100" s="17">
        <v>150</v>
      </c>
      <c r="G100" s="17">
        <v>150</v>
      </c>
      <c r="H100" s="10" t="s">
        <v>78</v>
      </c>
      <c r="I100" s="10">
        <v>0</v>
      </c>
    </row>
    <row r="101" spans="1:9" ht="18.75" customHeight="1">
      <c r="A101" s="10" t="s">
        <v>263</v>
      </c>
      <c r="B101" s="7" t="str">
        <f t="shared" si="1"/>
        <v>(CHU-REC-SF3-HP2)</v>
      </c>
      <c r="C101" s="10" t="s">
        <v>114</v>
      </c>
      <c r="D101" s="10" t="s">
        <v>115</v>
      </c>
      <c r="E101" s="10" t="s">
        <v>116</v>
      </c>
      <c r="F101" s="17">
        <v>150</v>
      </c>
      <c r="G101" s="17">
        <v>150</v>
      </c>
      <c r="H101" s="10" t="s">
        <v>78</v>
      </c>
      <c r="I101" s="10">
        <v>0</v>
      </c>
    </row>
    <row r="102" spans="1:9" ht="18.75" customHeight="1">
      <c r="A102" s="10" t="s">
        <v>264</v>
      </c>
      <c r="B102" s="7" t="str">
        <f t="shared" si="1"/>
        <v>(CHU-REC-SF3-HP3)</v>
      </c>
      <c r="C102" s="10" t="s">
        <v>118</v>
      </c>
      <c r="D102" s="10" t="s">
        <v>119</v>
      </c>
      <c r="E102" s="10" t="s">
        <v>120</v>
      </c>
      <c r="F102" s="17">
        <v>150</v>
      </c>
      <c r="G102" s="17">
        <v>150</v>
      </c>
      <c r="H102" s="10" t="s">
        <v>78</v>
      </c>
      <c r="I102" s="10">
        <v>0</v>
      </c>
    </row>
    <row r="103" spans="1:9" ht="18.75" customHeight="1">
      <c r="A103" s="10" t="s">
        <v>265</v>
      </c>
      <c r="B103" s="7" t="str">
        <f t="shared" si="1"/>
        <v>(CHU-REC-SF3-HP4)</v>
      </c>
      <c r="C103" s="10" t="s">
        <v>122</v>
      </c>
      <c r="D103" s="10" t="s">
        <v>123</v>
      </c>
      <c r="E103" s="10" t="s">
        <v>124</v>
      </c>
      <c r="F103" s="17">
        <v>150</v>
      </c>
      <c r="G103" s="17">
        <v>150</v>
      </c>
      <c r="H103" s="10" t="s">
        <v>78</v>
      </c>
      <c r="I103" s="10">
        <v>0</v>
      </c>
    </row>
    <row r="104" spans="1:9" ht="18.75" customHeight="1">
      <c r="A104" s="10" t="s">
        <v>266</v>
      </c>
      <c r="B104" s="7" t="str">
        <f t="shared" si="1"/>
        <v>(CHU-REC-SF3-LP0)</v>
      </c>
      <c r="C104" s="10" t="s">
        <v>126</v>
      </c>
      <c r="D104" s="10" t="s">
        <v>127</v>
      </c>
      <c r="E104" s="10" t="s">
        <v>128</v>
      </c>
      <c r="F104" s="17">
        <v>150</v>
      </c>
      <c r="G104" s="17">
        <v>150</v>
      </c>
      <c r="H104" s="10" t="s">
        <v>78</v>
      </c>
      <c r="I104" s="10">
        <v>0</v>
      </c>
    </row>
    <row r="105" spans="1:9" ht="18.75" customHeight="1">
      <c r="A105" s="10" t="s">
        <v>267</v>
      </c>
      <c r="B105" s="7" t="str">
        <f t="shared" si="1"/>
        <v>(CHU-REC-SF3-LP1)</v>
      </c>
      <c r="C105" s="10" t="s">
        <v>130</v>
      </c>
      <c r="D105" s="10" t="s">
        <v>131</v>
      </c>
      <c r="E105" s="10" t="s">
        <v>132</v>
      </c>
      <c r="F105" s="17">
        <v>150</v>
      </c>
      <c r="G105" s="17">
        <v>150</v>
      </c>
      <c r="H105" s="10" t="s">
        <v>78</v>
      </c>
      <c r="I105" s="10">
        <v>0</v>
      </c>
    </row>
    <row r="106" spans="1:9" ht="18.75" customHeight="1">
      <c r="A106" s="10" t="s">
        <v>268</v>
      </c>
      <c r="B106" s="7" t="str">
        <f t="shared" si="1"/>
        <v>(CHU-REC-SF3-LP2)</v>
      </c>
      <c r="C106" s="10" t="s">
        <v>134</v>
      </c>
      <c r="D106" s="10" t="s">
        <v>135</v>
      </c>
      <c r="E106" s="10" t="s">
        <v>136</v>
      </c>
      <c r="F106" s="17">
        <v>150</v>
      </c>
      <c r="G106" s="17">
        <v>150</v>
      </c>
      <c r="H106" s="10" t="s">
        <v>78</v>
      </c>
      <c r="I106" s="10">
        <v>0</v>
      </c>
    </row>
    <row r="107" spans="1:9" ht="18.75" customHeight="1">
      <c r="A107" s="10" t="s">
        <v>269</v>
      </c>
      <c r="B107" s="7" t="str">
        <f t="shared" si="1"/>
        <v>(CHU-REC-SF3-LP3)</v>
      </c>
      <c r="C107" s="10" t="s">
        <v>138</v>
      </c>
      <c r="D107" s="10" t="s">
        <v>139</v>
      </c>
      <c r="E107" s="10" t="s">
        <v>140</v>
      </c>
      <c r="F107" s="17">
        <v>150</v>
      </c>
      <c r="G107" s="17">
        <v>150</v>
      </c>
      <c r="H107" s="10" t="s">
        <v>78</v>
      </c>
      <c r="I107" s="10">
        <v>0</v>
      </c>
    </row>
    <row r="108" spans="1:9" ht="18.75" customHeight="1">
      <c r="A108" s="10" t="s">
        <v>270</v>
      </c>
      <c r="B108" s="7" t="str">
        <f t="shared" si="1"/>
        <v>(CHU-REC-SF3-LP4)</v>
      </c>
      <c r="C108" s="10" t="s">
        <v>142</v>
      </c>
      <c r="D108" s="10" t="s">
        <v>143</v>
      </c>
      <c r="E108" s="10" t="s">
        <v>144</v>
      </c>
      <c r="F108" s="17">
        <v>150</v>
      </c>
      <c r="G108" s="17">
        <v>150</v>
      </c>
      <c r="H108" s="10" t="s">
        <v>78</v>
      </c>
      <c r="I108" s="10">
        <v>0</v>
      </c>
    </row>
    <row r="109" spans="1:9" ht="18.75" customHeight="1">
      <c r="A109" s="10" t="s">
        <v>271</v>
      </c>
      <c r="B109" s="7" t="str">
        <f t="shared" si="1"/>
        <v>(CHU-REC-SF3-MP0)</v>
      </c>
      <c r="C109" s="10" t="s">
        <v>146</v>
      </c>
      <c r="D109" s="10" t="s">
        <v>147</v>
      </c>
      <c r="E109" s="10" t="s">
        <v>148</v>
      </c>
      <c r="F109" s="17">
        <v>150</v>
      </c>
      <c r="G109" s="17">
        <v>150</v>
      </c>
      <c r="H109" s="10" t="s">
        <v>78</v>
      </c>
      <c r="I109" s="10">
        <v>0</v>
      </c>
    </row>
    <row r="110" spans="1:9" ht="18.75" customHeight="1">
      <c r="A110" s="10" t="s">
        <v>272</v>
      </c>
      <c r="B110" s="7" t="str">
        <f t="shared" si="1"/>
        <v>(CHU-REC-SF3-MP1)</v>
      </c>
      <c r="C110" s="10" t="s">
        <v>150</v>
      </c>
      <c r="D110" s="10" t="s">
        <v>151</v>
      </c>
      <c r="E110" s="10" t="s">
        <v>152</v>
      </c>
      <c r="F110" s="17">
        <v>150</v>
      </c>
      <c r="G110" s="17">
        <v>150</v>
      </c>
      <c r="H110" s="10" t="s">
        <v>78</v>
      </c>
      <c r="I110" s="10">
        <v>0</v>
      </c>
    </row>
    <row r="111" spans="1:9" ht="18.75" customHeight="1">
      <c r="A111" s="10" t="s">
        <v>273</v>
      </c>
      <c r="B111" s="7" t="str">
        <f t="shared" si="1"/>
        <v>(CHU-REC-SF3-MP2)</v>
      </c>
      <c r="C111" s="10" t="s">
        <v>154</v>
      </c>
      <c r="D111" s="10" t="s">
        <v>155</v>
      </c>
      <c r="E111" s="10" t="s">
        <v>156</v>
      </c>
      <c r="F111" s="17">
        <v>150</v>
      </c>
      <c r="G111" s="17">
        <v>150</v>
      </c>
      <c r="H111" s="10" t="s">
        <v>78</v>
      </c>
      <c r="I111" s="10">
        <v>0</v>
      </c>
    </row>
    <row r="112" spans="1:9" ht="18.75" customHeight="1">
      <c r="A112" s="10" t="s">
        <v>274</v>
      </c>
      <c r="B112" s="7" t="str">
        <f t="shared" si="1"/>
        <v>(CHU-REC-SF3-MP3)</v>
      </c>
      <c r="C112" s="10" t="s">
        <v>158</v>
      </c>
      <c r="D112" s="10" t="s">
        <v>159</v>
      </c>
      <c r="E112" s="10" t="s">
        <v>160</v>
      </c>
      <c r="F112" s="17">
        <v>150</v>
      </c>
      <c r="G112" s="17">
        <v>150</v>
      </c>
      <c r="H112" s="10" t="s">
        <v>78</v>
      </c>
      <c r="I112" s="10">
        <v>0</v>
      </c>
    </row>
    <row r="113" spans="1:9" ht="18.75" customHeight="1">
      <c r="A113" s="10" t="s">
        <v>275</v>
      </c>
      <c r="B113" s="7" t="str">
        <f t="shared" si="1"/>
        <v>(CHU-REC-SF3-MP4)</v>
      </c>
      <c r="C113" s="10" t="s">
        <v>162</v>
      </c>
      <c r="D113" s="10" t="s">
        <v>163</v>
      </c>
      <c r="E113" s="10" t="s">
        <v>164</v>
      </c>
      <c r="F113" s="17">
        <v>150</v>
      </c>
      <c r="G113" s="17">
        <v>150</v>
      </c>
      <c r="H113" s="10" t="s">
        <v>78</v>
      </c>
      <c r="I113" s="10">
        <v>0</v>
      </c>
    </row>
    <row r="114" spans="1:9" ht="18.75" customHeight="1">
      <c r="A114" s="10" t="s">
        <v>276</v>
      </c>
      <c r="B114" s="7" t="str">
        <f t="shared" si="1"/>
        <v>(HUM-REC-SF3-HP0)</v>
      </c>
      <c r="C114" s="10" t="s">
        <v>106</v>
      </c>
      <c r="D114" s="10" t="s">
        <v>107</v>
      </c>
      <c r="E114" s="10" t="s">
        <v>108</v>
      </c>
      <c r="F114" s="17">
        <v>150</v>
      </c>
      <c r="G114" s="17">
        <v>150</v>
      </c>
      <c r="H114" s="10" t="s">
        <v>79</v>
      </c>
      <c r="I114" s="10">
        <v>0</v>
      </c>
    </row>
    <row r="115" spans="1:9" ht="18.75" customHeight="1">
      <c r="A115" s="10" t="s">
        <v>277</v>
      </c>
      <c r="B115" s="7" t="str">
        <f t="shared" si="1"/>
        <v>(HUM-REC-SF3-HP1)</v>
      </c>
      <c r="C115" s="10" t="s">
        <v>110</v>
      </c>
      <c r="D115" s="10" t="s">
        <v>111</v>
      </c>
      <c r="E115" s="10" t="s">
        <v>112</v>
      </c>
      <c r="F115" s="17">
        <v>150</v>
      </c>
      <c r="G115" s="17">
        <v>150</v>
      </c>
      <c r="H115" s="10" t="s">
        <v>79</v>
      </c>
      <c r="I115" s="10">
        <v>0</v>
      </c>
    </row>
    <row r="116" spans="1:9" ht="18.75" customHeight="1">
      <c r="A116" s="10" t="s">
        <v>278</v>
      </c>
      <c r="B116" s="7" t="str">
        <f t="shared" si="1"/>
        <v>(HUM-REC-SF3-HP2)</v>
      </c>
      <c r="C116" s="10" t="s">
        <v>114</v>
      </c>
      <c r="D116" s="10" t="s">
        <v>115</v>
      </c>
      <c r="E116" s="10" t="s">
        <v>116</v>
      </c>
      <c r="F116" s="17">
        <v>150</v>
      </c>
      <c r="G116" s="17">
        <v>150</v>
      </c>
      <c r="H116" s="10" t="s">
        <v>79</v>
      </c>
      <c r="I116" s="10">
        <v>0</v>
      </c>
    </row>
    <row r="117" spans="1:9" ht="18.75" customHeight="1">
      <c r="A117" s="10" t="s">
        <v>279</v>
      </c>
      <c r="B117" s="7" t="str">
        <f t="shared" si="1"/>
        <v>(HUM-REC-SF3-HP3)</v>
      </c>
      <c r="C117" s="10" t="s">
        <v>118</v>
      </c>
      <c r="D117" s="10" t="s">
        <v>119</v>
      </c>
      <c r="E117" s="10" t="s">
        <v>120</v>
      </c>
      <c r="F117" s="17">
        <v>150</v>
      </c>
      <c r="G117" s="17">
        <v>150</v>
      </c>
      <c r="H117" s="10" t="s">
        <v>79</v>
      </c>
      <c r="I117" s="10">
        <v>0</v>
      </c>
    </row>
    <row r="118" spans="1:9" ht="18.75" customHeight="1">
      <c r="A118" s="10" t="s">
        <v>280</v>
      </c>
      <c r="B118" s="7" t="str">
        <f t="shared" si="1"/>
        <v>(HUM-REC-SF3-HP4)</v>
      </c>
      <c r="C118" s="10" t="s">
        <v>122</v>
      </c>
      <c r="D118" s="10" t="s">
        <v>123</v>
      </c>
      <c r="E118" s="10" t="s">
        <v>124</v>
      </c>
      <c r="F118" s="17">
        <v>150</v>
      </c>
      <c r="G118" s="17">
        <v>150</v>
      </c>
      <c r="H118" s="10" t="s">
        <v>79</v>
      </c>
      <c r="I118" s="10">
        <v>0</v>
      </c>
    </row>
    <row r="119" spans="1:9" ht="18.75" customHeight="1">
      <c r="A119" s="10" t="s">
        <v>281</v>
      </c>
      <c r="B119" s="7" t="str">
        <f t="shared" si="1"/>
        <v>(HUM-REC-SF3-LP0)</v>
      </c>
      <c r="C119" s="10" t="s">
        <v>126</v>
      </c>
      <c r="D119" s="10" t="s">
        <v>127</v>
      </c>
      <c r="E119" s="10" t="s">
        <v>128</v>
      </c>
      <c r="F119" s="17">
        <v>150</v>
      </c>
      <c r="G119" s="17">
        <v>150</v>
      </c>
      <c r="H119" s="10" t="s">
        <v>79</v>
      </c>
      <c r="I119" s="10">
        <v>0</v>
      </c>
    </row>
    <row r="120" spans="1:9" ht="18.75" customHeight="1">
      <c r="A120" s="10" t="s">
        <v>282</v>
      </c>
      <c r="B120" s="7" t="str">
        <f t="shared" si="1"/>
        <v>(HUM-REC-SF3-LP1)</v>
      </c>
      <c r="C120" s="10" t="s">
        <v>130</v>
      </c>
      <c r="D120" s="10" t="s">
        <v>131</v>
      </c>
      <c r="E120" s="10" t="s">
        <v>132</v>
      </c>
      <c r="F120" s="17">
        <v>150</v>
      </c>
      <c r="G120" s="17">
        <v>150</v>
      </c>
      <c r="H120" s="10" t="s">
        <v>79</v>
      </c>
      <c r="I120" s="10">
        <v>0</v>
      </c>
    </row>
    <row r="121" spans="1:9" ht="18.75" customHeight="1">
      <c r="A121" s="10" t="s">
        <v>283</v>
      </c>
      <c r="B121" s="7" t="str">
        <f t="shared" si="1"/>
        <v>(HUM-REC-SF3-LP2)</v>
      </c>
      <c r="C121" s="10" t="s">
        <v>134</v>
      </c>
      <c r="D121" s="10" t="s">
        <v>135</v>
      </c>
      <c r="E121" s="10" t="s">
        <v>136</v>
      </c>
      <c r="F121" s="17">
        <v>150</v>
      </c>
      <c r="G121" s="17">
        <v>150</v>
      </c>
      <c r="H121" s="10" t="s">
        <v>79</v>
      </c>
      <c r="I121" s="10">
        <v>0</v>
      </c>
    </row>
    <row r="122" spans="1:9" ht="18.75" customHeight="1">
      <c r="A122" s="10" t="s">
        <v>284</v>
      </c>
      <c r="B122" s="7" t="str">
        <f t="shared" si="1"/>
        <v>(HUM-REC-SF3-LP3)</v>
      </c>
      <c r="C122" s="10" t="s">
        <v>138</v>
      </c>
      <c r="D122" s="10" t="s">
        <v>139</v>
      </c>
      <c r="E122" s="10" t="s">
        <v>140</v>
      </c>
      <c r="F122" s="17">
        <v>150</v>
      </c>
      <c r="G122" s="17">
        <v>150</v>
      </c>
      <c r="H122" s="10" t="s">
        <v>79</v>
      </c>
      <c r="I122" s="10">
        <v>0</v>
      </c>
    </row>
    <row r="123" spans="1:9" ht="18.75" customHeight="1">
      <c r="A123" s="10" t="s">
        <v>285</v>
      </c>
      <c r="B123" s="7" t="str">
        <f t="shared" si="1"/>
        <v>(HUM-REC-SF3-LP4)</v>
      </c>
      <c r="C123" s="10" t="s">
        <v>142</v>
      </c>
      <c r="D123" s="10" t="s">
        <v>143</v>
      </c>
      <c r="E123" s="10" t="s">
        <v>144</v>
      </c>
      <c r="F123" s="17">
        <v>150</v>
      </c>
      <c r="G123" s="17">
        <v>150</v>
      </c>
      <c r="H123" s="10" t="s">
        <v>79</v>
      </c>
      <c r="I123" s="10">
        <v>0</v>
      </c>
    </row>
    <row r="124" spans="1:9" ht="18.75" customHeight="1">
      <c r="A124" s="10" t="s">
        <v>286</v>
      </c>
      <c r="B124" s="7" t="str">
        <f t="shared" si="1"/>
        <v>(HUM-REC-SF3-MP0)</v>
      </c>
      <c r="C124" s="10" t="s">
        <v>146</v>
      </c>
      <c r="D124" s="10" t="s">
        <v>147</v>
      </c>
      <c r="E124" s="10" t="s">
        <v>148</v>
      </c>
      <c r="F124" s="17">
        <v>150</v>
      </c>
      <c r="G124" s="17">
        <v>150</v>
      </c>
      <c r="H124" s="10" t="s">
        <v>79</v>
      </c>
      <c r="I124" s="10">
        <v>0</v>
      </c>
    </row>
    <row r="125" spans="1:9" ht="18.75" customHeight="1">
      <c r="A125" s="10" t="s">
        <v>287</v>
      </c>
      <c r="B125" s="7" t="str">
        <f t="shared" si="1"/>
        <v>(HUM-REC-SF3-MP1)</v>
      </c>
      <c r="C125" s="10" t="s">
        <v>150</v>
      </c>
      <c r="D125" s="10" t="s">
        <v>151</v>
      </c>
      <c r="E125" s="10" t="s">
        <v>152</v>
      </c>
      <c r="F125" s="17">
        <v>150</v>
      </c>
      <c r="G125" s="17">
        <v>150</v>
      </c>
      <c r="H125" s="10" t="s">
        <v>79</v>
      </c>
      <c r="I125" s="10">
        <v>0</v>
      </c>
    </row>
    <row r="126" spans="1:9" ht="18.75" customHeight="1">
      <c r="A126" s="10" t="s">
        <v>288</v>
      </c>
      <c r="B126" s="7" t="str">
        <f t="shared" si="1"/>
        <v>(HUM-REC-SF3-MP2)</v>
      </c>
      <c r="C126" s="10" t="s">
        <v>154</v>
      </c>
      <c r="D126" s="10" t="s">
        <v>155</v>
      </c>
      <c r="E126" s="10" t="s">
        <v>156</v>
      </c>
      <c r="F126" s="17">
        <v>150</v>
      </c>
      <c r="G126" s="17">
        <v>150</v>
      </c>
      <c r="H126" s="10" t="s">
        <v>79</v>
      </c>
      <c r="I126" s="10">
        <v>0</v>
      </c>
    </row>
    <row r="127" spans="1:9" ht="18.75" customHeight="1">
      <c r="A127" s="10" t="s">
        <v>289</v>
      </c>
      <c r="B127" s="7" t="str">
        <f t="shared" si="1"/>
        <v>(HUM-REC-SF3-MP3)</v>
      </c>
      <c r="C127" s="10" t="s">
        <v>158</v>
      </c>
      <c r="D127" s="10" t="s">
        <v>159</v>
      </c>
      <c r="E127" s="10" t="s">
        <v>160</v>
      </c>
      <c r="F127" s="17">
        <v>150</v>
      </c>
      <c r="G127" s="17">
        <v>150</v>
      </c>
      <c r="H127" s="10" t="s">
        <v>79</v>
      </c>
      <c r="I127" s="10">
        <v>0</v>
      </c>
    </row>
    <row r="128" spans="1:9" ht="18.75" customHeight="1">
      <c r="A128" s="10" t="s">
        <v>290</v>
      </c>
      <c r="B128" s="7" t="str">
        <f t="shared" si="1"/>
        <v>(HUM-REC-SF3-MP4)</v>
      </c>
      <c r="C128" s="10" t="s">
        <v>162</v>
      </c>
      <c r="D128" s="10" t="s">
        <v>163</v>
      </c>
      <c r="E128" s="10" t="s">
        <v>164</v>
      </c>
      <c r="F128" s="17">
        <v>150</v>
      </c>
      <c r="G128" s="17">
        <v>150</v>
      </c>
      <c r="H128" s="10" t="s">
        <v>79</v>
      </c>
      <c r="I128" s="10">
        <v>0</v>
      </c>
    </row>
    <row r="129" spans="1:9" ht="18.75" customHeight="1">
      <c r="A129" s="10" t="s">
        <v>291</v>
      </c>
      <c r="B129" s="7" t="str">
        <f t="shared" si="1"/>
        <v>(CMP-REC-SF3-HP0)</v>
      </c>
      <c r="C129" s="10" t="s">
        <v>106</v>
      </c>
      <c r="D129" s="10" t="s">
        <v>107</v>
      </c>
      <c r="E129" s="10" t="s">
        <v>108</v>
      </c>
      <c r="F129" s="17">
        <v>150</v>
      </c>
      <c r="G129" s="17">
        <v>150</v>
      </c>
      <c r="H129" s="10" t="s">
        <v>81</v>
      </c>
      <c r="I129" s="10">
        <v>0</v>
      </c>
    </row>
    <row r="130" spans="1:9" ht="18.75" customHeight="1">
      <c r="A130" s="10" t="s">
        <v>292</v>
      </c>
      <c r="B130" s="7" t="str">
        <f t="shared" ref="B130:B193" si="2">"("&amp;A130&amp;")"</f>
        <v>(CMP-REC-SF3-HP1)</v>
      </c>
      <c r="C130" s="10" t="s">
        <v>110</v>
      </c>
      <c r="D130" s="10" t="s">
        <v>111</v>
      </c>
      <c r="E130" s="10" t="s">
        <v>112</v>
      </c>
      <c r="F130" s="17">
        <v>150</v>
      </c>
      <c r="G130" s="17">
        <v>150</v>
      </c>
      <c r="H130" s="10" t="s">
        <v>81</v>
      </c>
      <c r="I130" s="10">
        <v>0</v>
      </c>
    </row>
    <row r="131" spans="1:9" ht="18.75" customHeight="1">
      <c r="A131" s="10" t="s">
        <v>293</v>
      </c>
      <c r="B131" s="7" t="str">
        <f t="shared" si="2"/>
        <v>(CMP-REC-SF3-HP2)</v>
      </c>
      <c r="C131" s="10" t="s">
        <v>114</v>
      </c>
      <c r="D131" s="10" t="s">
        <v>115</v>
      </c>
      <c r="E131" s="10" t="s">
        <v>116</v>
      </c>
      <c r="F131" s="17">
        <v>150</v>
      </c>
      <c r="G131" s="17">
        <v>150</v>
      </c>
      <c r="H131" s="10" t="s">
        <v>81</v>
      </c>
      <c r="I131" s="10">
        <v>0</v>
      </c>
    </row>
    <row r="132" spans="1:9" ht="18.75" customHeight="1">
      <c r="A132" s="10" t="s">
        <v>294</v>
      </c>
      <c r="B132" s="7" t="str">
        <f t="shared" si="2"/>
        <v>(CMP-REC-SF3-HP3)</v>
      </c>
      <c r="C132" s="10" t="s">
        <v>118</v>
      </c>
      <c r="D132" s="10" t="s">
        <v>119</v>
      </c>
      <c r="E132" s="10" t="s">
        <v>120</v>
      </c>
      <c r="F132" s="17">
        <v>150</v>
      </c>
      <c r="G132" s="17">
        <v>150</v>
      </c>
      <c r="H132" s="10" t="s">
        <v>81</v>
      </c>
      <c r="I132" s="10">
        <v>0</v>
      </c>
    </row>
    <row r="133" spans="1:9" ht="18.75" customHeight="1">
      <c r="A133" s="10" t="s">
        <v>295</v>
      </c>
      <c r="B133" s="7" t="str">
        <f t="shared" si="2"/>
        <v>(CMP-REC-SF3-HP4)</v>
      </c>
      <c r="C133" s="10" t="s">
        <v>122</v>
      </c>
      <c r="D133" s="10" t="s">
        <v>123</v>
      </c>
      <c r="E133" s="10" t="s">
        <v>124</v>
      </c>
      <c r="F133" s="17">
        <v>150</v>
      </c>
      <c r="G133" s="17">
        <v>150</v>
      </c>
      <c r="H133" s="10" t="s">
        <v>81</v>
      </c>
      <c r="I133" s="10">
        <v>0</v>
      </c>
    </row>
    <row r="134" spans="1:9" ht="18.75" customHeight="1">
      <c r="A134" s="10" t="s">
        <v>296</v>
      </c>
      <c r="B134" s="7" t="str">
        <f t="shared" si="2"/>
        <v>(CMP-REC-SF3-LP0)</v>
      </c>
      <c r="C134" s="10" t="s">
        <v>126</v>
      </c>
      <c r="D134" s="10" t="s">
        <v>127</v>
      </c>
      <c r="E134" s="10" t="s">
        <v>128</v>
      </c>
      <c r="F134" s="17">
        <v>150</v>
      </c>
      <c r="G134" s="17">
        <v>150</v>
      </c>
      <c r="H134" s="10" t="s">
        <v>81</v>
      </c>
      <c r="I134" s="10">
        <v>0</v>
      </c>
    </row>
    <row r="135" spans="1:9" ht="18.75" customHeight="1">
      <c r="A135" s="10" t="s">
        <v>297</v>
      </c>
      <c r="B135" s="7" t="str">
        <f t="shared" si="2"/>
        <v>(CMP-REC-SF3-LP1)</v>
      </c>
      <c r="C135" s="10" t="s">
        <v>130</v>
      </c>
      <c r="D135" s="10" t="s">
        <v>131</v>
      </c>
      <c r="E135" s="10" t="s">
        <v>132</v>
      </c>
      <c r="F135" s="17">
        <v>150</v>
      </c>
      <c r="G135" s="17">
        <v>150</v>
      </c>
      <c r="H135" s="10" t="s">
        <v>81</v>
      </c>
      <c r="I135" s="10">
        <v>0</v>
      </c>
    </row>
    <row r="136" spans="1:9" ht="18.75" customHeight="1">
      <c r="A136" s="10" t="s">
        <v>298</v>
      </c>
      <c r="B136" s="7" t="str">
        <f t="shared" si="2"/>
        <v>(CMP-REC-SF3-LP2)</v>
      </c>
      <c r="C136" s="10" t="s">
        <v>134</v>
      </c>
      <c r="D136" s="10" t="s">
        <v>135</v>
      </c>
      <c r="E136" s="10" t="s">
        <v>136</v>
      </c>
      <c r="F136" s="17">
        <v>150</v>
      </c>
      <c r="G136" s="17">
        <v>150</v>
      </c>
      <c r="H136" s="10" t="s">
        <v>81</v>
      </c>
      <c r="I136" s="10">
        <v>0</v>
      </c>
    </row>
    <row r="137" spans="1:9" ht="18.75" customHeight="1">
      <c r="A137" s="10" t="s">
        <v>299</v>
      </c>
      <c r="B137" s="7" t="str">
        <f t="shared" si="2"/>
        <v>(CMP-REC-SF3-LP3)</v>
      </c>
      <c r="C137" s="10" t="s">
        <v>138</v>
      </c>
      <c r="D137" s="10" t="s">
        <v>139</v>
      </c>
      <c r="E137" s="10" t="s">
        <v>140</v>
      </c>
      <c r="F137" s="17">
        <v>150</v>
      </c>
      <c r="G137" s="17">
        <v>150</v>
      </c>
      <c r="H137" s="10" t="s">
        <v>81</v>
      </c>
      <c r="I137" s="10">
        <v>0</v>
      </c>
    </row>
    <row r="138" spans="1:9" ht="18.75" customHeight="1">
      <c r="A138" s="10" t="s">
        <v>300</v>
      </c>
      <c r="B138" s="7" t="str">
        <f t="shared" si="2"/>
        <v>(CMP-REC-SF3-LP4)</v>
      </c>
      <c r="C138" s="10" t="s">
        <v>142</v>
      </c>
      <c r="D138" s="10" t="s">
        <v>143</v>
      </c>
      <c r="E138" s="10" t="s">
        <v>144</v>
      </c>
      <c r="F138" s="17">
        <v>150</v>
      </c>
      <c r="G138" s="17">
        <v>150</v>
      </c>
      <c r="H138" s="10" t="s">
        <v>81</v>
      </c>
      <c r="I138" s="10">
        <v>0</v>
      </c>
    </row>
    <row r="139" spans="1:9" ht="18.75" customHeight="1">
      <c r="A139" s="10" t="s">
        <v>301</v>
      </c>
      <c r="B139" s="7" t="str">
        <f t="shared" si="2"/>
        <v>(CMP-REC-SF3-MP0)</v>
      </c>
      <c r="C139" s="10" t="s">
        <v>146</v>
      </c>
      <c r="D139" s="10" t="s">
        <v>147</v>
      </c>
      <c r="E139" s="10" t="s">
        <v>148</v>
      </c>
      <c r="F139" s="17">
        <v>150</v>
      </c>
      <c r="G139" s="17">
        <v>150</v>
      </c>
      <c r="H139" s="10" t="s">
        <v>81</v>
      </c>
      <c r="I139" s="10">
        <v>0</v>
      </c>
    </row>
    <row r="140" spans="1:9" ht="18.75" customHeight="1">
      <c r="A140" s="10" t="s">
        <v>302</v>
      </c>
      <c r="B140" s="7" t="str">
        <f t="shared" si="2"/>
        <v>(CMP-REC-SF3-MP1)</v>
      </c>
      <c r="C140" s="10" t="s">
        <v>150</v>
      </c>
      <c r="D140" s="10" t="s">
        <v>151</v>
      </c>
      <c r="E140" s="10" t="s">
        <v>152</v>
      </c>
      <c r="F140" s="17">
        <v>150</v>
      </c>
      <c r="G140" s="17">
        <v>150</v>
      </c>
      <c r="H140" s="10" t="s">
        <v>81</v>
      </c>
      <c r="I140" s="10">
        <v>0</v>
      </c>
    </row>
    <row r="141" spans="1:9" ht="18.75" customHeight="1">
      <c r="A141" s="10" t="s">
        <v>303</v>
      </c>
      <c r="B141" s="7" t="str">
        <f t="shared" si="2"/>
        <v>(CMP-REC-SF3-MP2)</v>
      </c>
      <c r="C141" s="10" t="s">
        <v>154</v>
      </c>
      <c r="D141" s="10" t="s">
        <v>155</v>
      </c>
      <c r="E141" s="10" t="s">
        <v>156</v>
      </c>
      <c r="F141" s="17">
        <v>150</v>
      </c>
      <c r="G141" s="17">
        <v>150</v>
      </c>
      <c r="H141" s="10" t="s">
        <v>81</v>
      </c>
      <c r="I141" s="10">
        <v>0</v>
      </c>
    </row>
    <row r="142" spans="1:9" ht="18.75" customHeight="1">
      <c r="A142" s="10" t="s">
        <v>304</v>
      </c>
      <c r="B142" s="7" t="str">
        <f t="shared" si="2"/>
        <v>(CMP-REC-SF3-MP3)</v>
      </c>
      <c r="C142" s="10" t="s">
        <v>158</v>
      </c>
      <c r="D142" s="10" t="s">
        <v>159</v>
      </c>
      <c r="E142" s="10" t="s">
        <v>160</v>
      </c>
      <c r="F142" s="17">
        <v>150</v>
      </c>
      <c r="G142" s="17">
        <v>150</v>
      </c>
      <c r="H142" s="10" t="s">
        <v>81</v>
      </c>
      <c r="I142" s="10">
        <v>0</v>
      </c>
    </row>
    <row r="143" spans="1:9" ht="18.75" customHeight="1">
      <c r="A143" s="10" t="s">
        <v>305</v>
      </c>
      <c r="B143" s="7" t="str">
        <f t="shared" si="2"/>
        <v>(CMP-REC-SF3-MP4)</v>
      </c>
      <c r="C143" s="10" t="s">
        <v>162</v>
      </c>
      <c r="D143" s="10" t="s">
        <v>163</v>
      </c>
      <c r="E143" s="10" t="s">
        <v>164</v>
      </c>
      <c r="F143" s="17">
        <v>150</v>
      </c>
      <c r="G143" s="17">
        <v>150</v>
      </c>
      <c r="H143" s="10" t="s">
        <v>81</v>
      </c>
      <c r="I143" s="10">
        <v>0</v>
      </c>
    </row>
    <row r="144" spans="1:9" ht="18.75" customHeight="1">
      <c r="A144" s="10" t="s">
        <v>306</v>
      </c>
      <c r="B144" s="7" t="str">
        <f t="shared" si="2"/>
        <v>(MLA-REC-SF3-HP0)</v>
      </c>
      <c r="C144" s="10" t="s">
        <v>106</v>
      </c>
      <c r="D144" s="10" t="s">
        <v>107</v>
      </c>
      <c r="E144" s="10" t="s">
        <v>108</v>
      </c>
      <c r="F144" s="17">
        <v>150</v>
      </c>
      <c r="G144" s="17">
        <v>150</v>
      </c>
      <c r="H144" s="10" t="s">
        <v>307</v>
      </c>
      <c r="I144" s="10">
        <v>0</v>
      </c>
    </row>
    <row r="145" spans="1:9" ht="18.75" customHeight="1">
      <c r="A145" s="10" t="s">
        <v>308</v>
      </c>
      <c r="B145" s="7" t="str">
        <f t="shared" si="2"/>
        <v>(MLA-REC-SF3-HP1)</v>
      </c>
      <c r="C145" s="10" t="s">
        <v>110</v>
      </c>
      <c r="D145" s="10" t="s">
        <v>111</v>
      </c>
      <c r="E145" s="10" t="s">
        <v>112</v>
      </c>
      <c r="F145" s="17">
        <v>150</v>
      </c>
      <c r="G145" s="17">
        <v>150</v>
      </c>
      <c r="H145" s="10" t="s">
        <v>307</v>
      </c>
      <c r="I145" s="10">
        <v>0</v>
      </c>
    </row>
    <row r="146" spans="1:9" ht="18.75" customHeight="1">
      <c r="A146" s="10" t="s">
        <v>309</v>
      </c>
      <c r="B146" s="7" t="str">
        <f t="shared" si="2"/>
        <v>(MLA-REC-SF3-HP2)</v>
      </c>
      <c r="C146" s="10" t="s">
        <v>114</v>
      </c>
      <c r="D146" s="10" t="s">
        <v>115</v>
      </c>
      <c r="E146" s="10" t="s">
        <v>116</v>
      </c>
      <c r="F146" s="17">
        <v>150</v>
      </c>
      <c r="G146" s="17">
        <v>150</v>
      </c>
      <c r="H146" s="10" t="s">
        <v>307</v>
      </c>
      <c r="I146" s="10">
        <v>0</v>
      </c>
    </row>
    <row r="147" spans="1:9" ht="18.75" customHeight="1">
      <c r="A147" s="10" t="s">
        <v>310</v>
      </c>
      <c r="B147" s="7" t="str">
        <f t="shared" si="2"/>
        <v>(MLA-REC-SF3-HP3)</v>
      </c>
      <c r="C147" s="10" t="s">
        <v>118</v>
      </c>
      <c r="D147" s="10" t="s">
        <v>119</v>
      </c>
      <c r="E147" s="10" t="s">
        <v>120</v>
      </c>
      <c r="F147" s="17">
        <v>150</v>
      </c>
      <c r="G147" s="17">
        <v>150</v>
      </c>
      <c r="H147" s="10" t="s">
        <v>307</v>
      </c>
      <c r="I147" s="10">
        <v>0</v>
      </c>
    </row>
    <row r="148" spans="1:9" ht="18.75" customHeight="1">
      <c r="A148" s="10" t="s">
        <v>311</v>
      </c>
      <c r="B148" s="7" t="str">
        <f t="shared" si="2"/>
        <v>(MLA-REC-SF3-HP4)</v>
      </c>
      <c r="C148" s="10" t="s">
        <v>122</v>
      </c>
      <c r="D148" s="10" t="s">
        <v>123</v>
      </c>
      <c r="E148" s="10" t="s">
        <v>124</v>
      </c>
      <c r="F148" s="17">
        <v>150</v>
      </c>
      <c r="G148" s="17">
        <v>150</v>
      </c>
      <c r="H148" s="10" t="s">
        <v>307</v>
      </c>
      <c r="I148" s="10">
        <v>0</v>
      </c>
    </row>
    <row r="149" spans="1:9" ht="18.75" customHeight="1">
      <c r="A149" s="10" t="s">
        <v>312</v>
      </c>
      <c r="B149" s="7" t="str">
        <f t="shared" si="2"/>
        <v>(MLA-REC-SF3-LP0)</v>
      </c>
      <c r="C149" s="10" t="s">
        <v>126</v>
      </c>
      <c r="D149" s="10" t="s">
        <v>127</v>
      </c>
      <c r="E149" s="10" t="s">
        <v>128</v>
      </c>
      <c r="F149" s="17">
        <v>150</v>
      </c>
      <c r="G149" s="17">
        <v>150</v>
      </c>
      <c r="H149" s="10" t="s">
        <v>307</v>
      </c>
      <c r="I149" s="10">
        <v>0</v>
      </c>
    </row>
    <row r="150" spans="1:9" ht="18.75" customHeight="1">
      <c r="A150" s="10" t="s">
        <v>313</v>
      </c>
      <c r="B150" s="7" t="str">
        <f t="shared" si="2"/>
        <v>(MLA-REC-SF3-LP1)</v>
      </c>
      <c r="C150" s="10" t="s">
        <v>130</v>
      </c>
      <c r="D150" s="10" t="s">
        <v>131</v>
      </c>
      <c r="E150" s="10" t="s">
        <v>132</v>
      </c>
      <c r="F150" s="17">
        <v>150</v>
      </c>
      <c r="G150" s="17">
        <v>150</v>
      </c>
      <c r="H150" s="10" t="s">
        <v>307</v>
      </c>
      <c r="I150" s="10">
        <v>0</v>
      </c>
    </row>
    <row r="151" spans="1:9" ht="18.75" customHeight="1">
      <c r="A151" s="10" t="s">
        <v>314</v>
      </c>
      <c r="B151" s="7" t="str">
        <f t="shared" si="2"/>
        <v>(MLA-REC-SF3-LP2)</v>
      </c>
      <c r="C151" s="10" t="s">
        <v>134</v>
      </c>
      <c r="D151" s="10" t="s">
        <v>135</v>
      </c>
      <c r="E151" s="10" t="s">
        <v>136</v>
      </c>
      <c r="F151" s="17">
        <v>150</v>
      </c>
      <c r="G151" s="17">
        <v>150</v>
      </c>
      <c r="H151" s="10" t="s">
        <v>307</v>
      </c>
      <c r="I151" s="10">
        <v>0</v>
      </c>
    </row>
    <row r="152" spans="1:9" ht="18.75" customHeight="1">
      <c r="A152" s="10" t="s">
        <v>315</v>
      </c>
      <c r="B152" s="7" t="str">
        <f t="shared" si="2"/>
        <v>(MLA-REC-SF3-LP3)</v>
      </c>
      <c r="C152" s="10" t="s">
        <v>138</v>
      </c>
      <c r="D152" s="10" t="s">
        <v>139</v>
      </c>
      <c r="E152" s="10" t="s">
        <v>140</v>
      </c>
      <c r="F152" s="17">
        <v>150</v>
      </c>
      <c r="G152" s="17">
        <v>150</v>
      </c>
      <c r="H152" s="10" t="s">
        <v>307</v>
      </c>
      <c r="I152" s="10">
        <v>0</v>
      </c>
    </row>
    <row r="153" spans="1:9" ht="18.75" customHeight="1">
      <c r="A153" s="10" t="s">
        <v>316</v>
      </c>
      <c r="B153" s="7" t="str">
        <f t="shared" si="2"/>
        <v>(MLA-REC-SF3-LP4)</v>
      </c>
      <c r="C153" s="10" t="s">
        <v>142</v>
      </c>
      <c r="D153" s="10" t="s">
        <v>143</v>
      </c>
      <c r="E153" s="10" t="s">
        <v>144</v>
      </c>
      <c r="F153" s="17">
        <v>150</v>
      </c>
      <c r="G153" s="17">
        <v>150</v>
      </c>
      <c r="H153" s="10" t="s">
        <v>307</v>
      </c>
      <c r="I153" s="10">
        <v>0</v>
      </c>
    </row>
    <row r="154" spans="1:9" ht="18.75" customHeight="1">
      <c r="A154" s="10" t="s">
        <v>317</v>
      </c>
      <c r="B154" s="7" t="str">
        <f t="shared" si="2"/>
        <v>(MLA-REC-SF3-MP0)</v>
      </c>
      <c r="C154" s="10" t="s">
        <v>146</v>
      </c>
      <c r="D154" s="10" t="s">
        <v>147</v>
      </c>
      <c r="E154" s="10" t="s">
        <v>148</v>
      </c>
      <c r="F154" s="17">
        <v>150</v>
      </c>
      <c r="G154" s="17">
        <v>150</v>
      </c>
      <c r="H154" s="10" t="s">
        <v>307</v>
      </c>
      <c r="I154" s="10">
        <v>0</v>
      </c>
    </row>
    <row r="155" spans="1:9" ht="18.75" customHeight="1">
      <c r="A155" s="10" t="s">
        <v>318</v>
      </c>
      <c r="B155" s="7" t="str">
        <f t="shared" si="2"/>
        <v>(MLA-REC-SF3-MP1)</v>
      </c>
      <c r="C155" s="10" t="s">
        <v>150</v>
      </c>
      <c r="D155" s="10" t="s">
        <v>151</v>
      </c>
      <c r="E155" s="10" t="s">
        <v>152</v>
      </c>
      <c r="F155" s="17">
        <v>150</v>
      </c>
      <c r="G155" s="17">
        <v>150</v>
      </c>
      <c r="H155" s="10" t="s">
        <v>307</v>
      </c>
      <c r="I155" s="10">
        <v>0</v>
      </c>
    </row>
    <row r="156" spans="1:9" ht="18.75" customHeight="1">
      <c r="A156" s="10" t="s">
        <v>319</v>
      </c>
      <c r="B156" s="7" t="str">
        <f t="shared" si="2"/>
        <v>(MLA-REC-SF3-MP2)</v>
      </c>
      <c r="C156" s="10" t="s">
        <v>154</v>
      </c>
      <c r="D156" s="10" t="s">
        <v>155</v>
      </c>
      <c r="E156" s="10" t="s">
        <v>156</v>
      </c>
      <c r="F156" s="17">
        <v>150</v>
      </c>
      <c r="G156" s="17">
        <v>150</v>
      </c>
      <c r="H156" s="10" t="s">
        <v>307</v>
      </c>
      <c r="I156" s="10">
        <v>0</v>
      </c>
    </row>
    <row r="157" spans="1:9" ht="18.75" customHeight="1">
      <c r="A157" s="10" t="s">
        <v>320</v>
      </c>
      <c r="B157" s="7" t="str">
        <f t="shared" si="2"/>
        <v>(MLA-REC-SF3-MP3)</v>
      </c>
      <c r="C157" s="10" t="s">
        <v>158</v>
      </c>
      <c r="D157" s="10" t="s">
        <v>159</v>
      </c>
      <c r="E157" s="10" t="s">
        <v>160</v>
      </c>
      <c r="F157" s="17">
        <v>150</v>
      </c>
      <c r="G157" s="17">
        <v>150</v>
      </c>
      <c r="H157" s="10" t="s">
        <v>307</v>
      </c>
      <c r="I157" s="10">
        <v>0</v>
      </c>
    </row>
    <row r="158" spans="1:9" ht="18.75" customHeight="1">
      <c r="A158" s="10" t="s">
        <v>321</v>
      </c>
      <c r="B158" s="7" t="str">
        <f t="shared" si="2"/>
        <v>(MLA-REC-SF3-MP4)</v>
      </c>
      <c r="C158" s="10" t="s">
        <v>162</v>
      </c>
      <c r="D158" s="10" t="s">
        <v>163</v>
      </c>
      <c r="E158" s="10" t="s">
        <v>164</v>
      </c>
      <c r="F158" s="17">
        <v>150</v>
      </c>
      <c r="G158" s="17">
        <v>150</v>
      </c>
      <c r="H158" s="10" t="s">
        <v>307</v>
      </c>
      <c r="I158" s="10">
        <v>0</v>
      </c>
    </row>
    <row r="159" spans="1:9" ht="18.75" customHeight="1">
      <c r="A159" s="10" t="s">
        <v>322</v>
      </c>
      <c r="B159" s="7" t="str">
        <f t="shared" si="2"/>
        <v>(CNH-REC-SF3-HP0)</v>
      </c>
      <c r="C159" s="10" t="s">
        <v>106</v>
      </c>
      <c r="D159" s="10" t="s">
        <v>107</v>
      </c>
      <c r="E159" s="10" t="s">
        <v>108</v>
      </c>
      <c r="F159" s="17">
        <v>150</v>
      </c>
      <c r="G159" s="17">
        <v>150</v>
      </c>
      <c r="H159" s="10" t="s">
        <v>82</v>
      </c>
      <c r="I159" s="10">
        <v>0</v>
      </c>
    </row>
    <row r="160" spans="1:9" ht="18.75" customHeight="1">
      <c r="A160" s="10" t="s">
        <v>323</v>
      </c>
      <c r="B160" s="7" t="str">
        <f t="shared" si="2"/>
        <v>(CNH-REC-SF3-HP1)</v>
      </c>
      <c r="C160" s="10" t="s">
        <v>110</v>
      </c>
      <c r="D160" s="10" t="s">
        <v>111</v>
      </c>
      <c r="E160" s="10" t="s">
        <v>112</v>
      </c>
      <c r="F160" s="17">
        <v>150</v>
      </c>
      <c r="G160" s="17">
        <v>150</v>
      </c>
      <c r="H160" s="10" t="s">
        <v>82</v>
      </c>
      <c r="I160" s="10">
        <v>0</v>
      </c>
    </row>
    <row r="161" spans="1:9" ht="18.75" customHeight="1">
      <c r="A161" s="10" t="s">
        <v>324</v>
      </c>
      <c r="B161" s="7" t="str">
        <f t="shared" si="2"/>
        <v>(CNH-REC-SF3-HP2)</v>
      </c>
      <c r="C161" s="10" t="s">
        <v>114</v>
      </c>
      <c r="D161" s="10" t="s">
        <v>115</v>
      </c>
      <c r="E161" s="10" t="s">
        <v>116</v>
      </c>
      <c r="F161" s="17">
        <v>150</v>
      </c>
      <c r="G161" s="17">
        <v>150</v>
      </c>
      <c r="H161" s="10" t="s">
        <v>82</v>
      </c>
      <c r="I161" s="10">
        <v>0</v>
      </c>
    </row>
    <row r="162" spans="1:9" ht="18.75" customHeight="1">
      <c r="A162" s="10" t="s">
        <v>325</v>
      </c>
      <c r="B162" s="7" t="str">
        <f t="shared" si="2"/>
        <v>(CNH-REC-SF3-HP3)</v>
      </c>
      <c r="C162" s="10" t="s">
        <v>118</v>
      </c>
      <c r="D162" s="10" t="s">
        <v>119</v>
      </c>
      <c r="E162" s="10" t="s">
        <v>120</v>
      </c>
      <c r="F162" s="17">
        <v>150</v>
      </c>
      <c r="G162" s="17">
        <v>150</v>
      </c>
      <c r="H162" s="10" t="s">
        <v>82</v>
      </c>
      <c r="I162" s="10">
        <v>0</v>
      </c>
    </row>
    <row r="163" spans="1:9" ht="18.75" customHeight="1">
      <c r="A163" s="10" t="s">
        <v>326</v>
      </c>
      <c r="B163" s="7" t="str">
        <f t="shared" si="2"/>
        <v>(CNH-REC-SF3-HP4)</v>
      </c>
      <c r="C163" s="10" t="s">
        <v>122</v>
      </c>
      <c r="D163" s="10" t="s">
        <v>123</v>
      </c>
      <c r="E163" s="10" t="s">
        <v>124</v>
      </c>
      <c r="F163" s="17">
        <v>150</v>
      </c>
      <c r="G163" s="17">
        <v>150</v>
      </c>
      <c r="H163" s="10" t="s">
        <v>82</v>
      </c>
      <c r="I163" s="10">
        <v>0</v>
      </c>
    </row>
    <row r="164" spans="1:9" ht="18.75" customHeight="1">
      <c r="A164" s="10" t="s">
        <v>327</v>
      </c>
      <c r="B164" s="7" t="str">
        <f t="shared" si="2"/>
        <v>(CNH-REC-SF3-LP0)</v>
      </c>
      <c r="C164" s="10" t="s">
        <v>126</v>
      </c>
      <c r="D164" s="10" t="s">
        <v>127</v>
      </c>
      <c r="E164" s="10" t="s">
        <v>128</v>
      </c>
      <c r="F164" s="17">
        <v>150</v>
      </c>
      <c r="G164" s="17">
        <v>150</v>
      </c>
      <c r="H164" s="10" t="s">
        <v>82</v>
      </c>
      <c r="I164" s="10">
        <v>0</v>
      </c>
    </row>
    <row r="165" spans="1:9" ht="18.75" customHeight="1">
      <c r="A165" s="10" t="s">
        <v>328</v>
      </c>
      <c r="B165" s="7" t="str">
        <f t="shared" si="2"/>
        <v>(CNH-REC-SF3-LP1)</v>
      </c>
      <c r="C165" s="10" t="s">
        <v>130</v>
      </c>
      <c r="D165" s="10" t="s">
        <v>131</v>
      </c>
      <c r="E165" s="10" t="s">
        <v>132</v>
      </c>
      <c r="F165" s="17">
        <v>150</v>
      </c>
      <c r="G165" s="17">
        <v>150</v>
      </c>
      <c r="H165" s="10" t="s">
        <v>82</v>
      </c>
      <c r="I165" s="10">
        <v>0</v>
      </c>
    </row>
    <row r="166" spans="1:9" ht="18.75" customHeight="1">
      <c r="A166" s="10" t="s">
        <v>329</v>
      </c>
      <c r="B166" s="7" t="str">
        <f t="shared" si="2"/>
        <v>(CNH-REC-SF3-LP2)</v>
      </c>
      <c r="C166" s="10" t="s">
        <v>134</v>
      </c>
      <c r="D166" s="10" t="s">
        <v>135</v>
      </c>
      <c r="E166" s="10" t="s">
        <v>136</v>
      </c>
      <c r="F166" s="17">
        <v>150</v>
      </c>
      <c r="G166" s="17">
        <v>150</v>
      </c>
      <c r="H166" s="10" t="s">
        <v>82</v>
      </c>
      <c r="I166" s="10">
        <v>0</v>
      </c>
    </row>
    <row r="167" spans="1:9" ht="18.75" customHeight="1">
      <c r="A167" s="10" t="s">
        <v>330</v>
      </c>
      <c r="B167" s="7" t="str">
        <f t="shared" si="2"/>
        <v>(CNH-REC-SF3-LP3)</v>
      </c>
      <c r="C167" s="10" t="s">
        <v>138</v>
      </c>
      <c r="D167" s="10" t="s">
        <v>139</v>
      </c>
      <c r="E167" s="10" t="s">
        <v>140</v>
      </c>
      <c r="F167" s="17">
        <v>150</v>
      </c>
      <c r="G167" s="17">
        <v>150</v>
      </c>
      <c r="H167" s="10" t="s">
        <v>82</v>
      </c>
      <c r="I167" s="10">
        <v>0</v>
      </c>
    </row>
    <row r="168" spans="1:9" ht="18.75" customHeight="1">
      <c r="A168" s="10" t="s">
        <v>331</v>
      </c>
      <c r="B168" s="7" t="str">
        <f t="shared" si="2"/>
        <v>(CNH-REC-SF3-LP4)</v>
      </c>
      <c r="C168" s="10" t="s">
        <v>142</v>
      </c>
      <c r="D168" s="10" t="s">
        <v>143</v>
      </c>
      <c r="E168" s="10" t="s">
        <v>144</v>
      </c>
      <c r="F168" s="17">
        <v>150</v>
      </c>
      <c r="G168" s="17">
        <v>150</v>
      </c>
      <c r="H168" s="10" t="s">
        <v>82</v>
      </c>
      <c r="I168" s="10">
        <v>0</v>
      </c>
    </row>
    <row r="169" spans="1:9" ht="18.75" customHeight="1">
      <c r="A169" s="10" t="s">
        <v>332</v>
      </c>
      <c r="B169" s="7" t="str">
        <f t="shared" si="2"/>
        <v>(CNH-REC-SF3-MP0)</v>
      </c>
      <c r="C169" s="10" t="s">
        <v>146</v>
      </c>
      <c r="D169" s="10" t="s">
        <v>147</v>
      </c>
      <c r="E169" s="10" t="s">
        <v>148</v>
      </c>
      <c r="F169" s="17">
        <v>150</v>
      </c>
      <c r="G169" s="17">
        <v>150</v>
      </c>
      <c r="H169" s="10" t="s">
        <v>82</v>
      </c>
      <c r="I169" s="10">
        <v>0</v>
      </c>
    </row>
    <row r="170" spans="1:9" ht="18.75" customHeight="1">
      <c r="A170" s="10" t="s">
        <v>333</v>
      </c>
      <c r="B170" s="7" t="str">
        <f t="shared" si="2"/>
        <v>(CNH-REC-SF3-MP1)</v>
      </c>
      <c r="C170" s="10" t="s">
        <v>150</v>
      </c>
      <c r="D170" s="10" t="s">
        <v>151</v>
      </c>
      <c r="E170" s="10" t="s">
        <v>152</v>
      </c>
      <c r="F170" s="17">
        <v>150</v>
      </c>
      <c r="G170" s="17">
        <v>150</v>
      </c>
      <c r="H170" s="10" t="s">
        <v>82</v>
      </c>
      <c r="I170" s="10">
        <v>0</v>
      </c>
    </row>
    <row r="171" spans="1:9" ht="18.75" customHeight="1">
      <c r="A171" s="10" t="s">
        <v>334</v>
      </c>
      <c r="B171" s="7" t="str">
        <f t="shared" si="2"/>
        <v>(CNH-REC-SF3-MP2)</v>
      </c>
      <c r="C171" s="10" t="s">
        <v>154</v>
      </c>
      <c r="D171" s="10" t="s">
        <v>155</v>
      </c>
      <c r="E171" s="10" t="s">
        <v>156</v>
      </c>
      <c r="F171" s="17">
        <v>150</v>
      </c>
      <c r="G171" s="17">
        <v>150</v>
      </c>
      <c r="H171" s="10" t="s">
        <v>82</v>
      </c>
      <c r="I171" s="10">
        <v>0</v>
      </c>
    </row>
    <row r="172" spans="1:9" ht="18.75" customHeight="1">
      <c r="A172" s="10" t="s">
        <v>335</v>
      </c>
      <c r="B172" s="7" t="str">
        <f t="shared" si="2"/>
        <v>(CNH-REC-SF3-MP3)</v>
      </c>
      <c r="C172" s="10" t="s">
        <v>158</v>
      </c>
      <c r="D172" s="10" t="s">
        <v>159</v>
      </c>
      <c r="E172" s="10" t="s">
        <v>160</v>
      </c>
      <c r="F172" s="17">
        <v>150</v>
      </c>
      <c r="G172" s="17">
        <v>150</v>
      </c>
      <c r="H172" s="10" t="s">
        <v>82</v>
      </c>
      <c r="I172" s="10">
        <v>0</v>
      </c>
    </row>
    <row r="173" spans="1:9" ht="18.75" customHeight="1">
      <c r="A173" s="10" t="s">
        <v>336</v>
      </c>
      <c r="B173" s="7" t="str">
        <f t="shared" si="2"/>
        <v>(CNH-REC-SF3-MP4)</v>
      </c>
      <c r="C173" s="10" t="s">
        <v>162</v>
      </c>
      <c r="D173" s="10" t="s">
        <v>163</v>
      </c>
      <c r="E173" s="10" t="s">
        <v>164</v>
      </c>
      <c r="F173" s="17">
        <v>150</v>
      </c>
      <c r="G173" s="17">
        <v>150</v>
      </c>
      <c r="H173" s="10" t="s">
        <v>82</v>
      </c>
      <c r="I173" s="10">
        <v>0</v>
      </c>
    </row>
    <row r="174" spans="1:9" ht="18.75" customHeight="1">
      <c r="A174" s="10" t="s">
        <v>337</v>
      </c>
      <c r="B174" s="7" t="str">
        <f t="shared" si="2"/>
        <v>(REG-REC-MM-1)</v>
      </c>
      <c r="C174" s="10" t="s">
        <v>181</v>
      </c>
      <c r="D174" s="10" t="s">
        <v>182</v>
      </c>
      <c r="E174" s="10" t="s">
        <v>183</v>
      </c>
      <c r="F174" s="17">
        <v>225</v>
      </c>
      <c r="G174" s="17">
        <v>0</v>
      </c>
      <c r="H174" s="10" t="s">
        <v>338</v>
      </c>
      <c r="I174" s="10">
        <v>0</v>
      </c>
    </row>
    <row r="175" spans="1:9" ht="18.75" customHeight="1">
      <c r="A175" s="10" t="s">
        <v>339</v>
      </c>
      <c r="B175" s="7" t="str">
        <f t="shared" si="2"/>
        <v>(REG-REC-MM-2)</v>
      </c>
      <c r="C175" s="10" t="s">
        <v>185</v>
      </c>
      <c r="D175" s="10" t="s">
        <v>186</v>
      </c>
      <c r="E175" s="10" t="s">
        <v>187</v>
      </c>
      <c r="F175" s="17">
        <v>225</v>
      </c>
      <c r="G175" s="17">
        <v>0</v>
      </c>
      <c r="H175" s="10" t="s">
        <v>338</v>
      </c>
      <c r="I175" s="10">
        <v>0</v>
      </c>
    </row>
    <row r="176" spans="1:9" ht="18.75" customHeight="1">
      <c r="A176" s="10" t="s">
        <v>340</v>
      </c>
      <c r="B176" s="7" t="str">
        <f t="shared" si="2"/>
        <v>(REG-REC-MM-3)</v>
      </c>
      <c r="C176" s="10" t="s">
        <v>189</v>
      </c>
      <c r="D176" s="10" t="s">
        <v>190</v>
      </c>
      <c r="E176" s="10" t="s">
        <v>191</v>
      </c>
      <c r="F176" s="17">
        <v>225</v>
      </c>
      <c r="G176" s="17">
        <v>0</v>
      </c>
      <c r="H176" s="10" t="s">
        <v>338</v>
      </c>
      <c r="I176" s="10">
        <v>0</v>
      </c>
    </row>
    <row r="177" spans="1:9" ht="18.75" customHeight="1">
      <c r="A177" s="10" t="s">
        <v>341</v>
      </c>
      <c r="B177" s="7" t="str">
        <f t="shared" si="2"/>
        <v>(REG-REC-MM-4)</v>
      </c>
      <c r="C177" s="10" t="s">
        <v>193</v>
      </c>
      <c r="D177" s="10" t="s">
        <v>194</v>
      </c>
      <c r="E177" s="10" t="s">
        <v>195</v>
      </c>
      <c r="F177" s="17">
        <v>225</v>
      </c>
      <c r="G177" s="17">
        <v>0</v>
      </c>
      <c r="H177" s="10" t="s">
        <v>338</v>
      </c>
      <c r="I177" s="10">
        <v>0</v>
      </c>
    </row>
    <row r="178" spans="1:9" ht="18.75" customHeight="1">
      <c r="A178" s="10" t="s">
        <v>342</v>
      </c>
      <c r="B178" s="7" t="str">
        <f t="shared" si="2"/>
        <v>(REG-REC-SF3-HP0)</v>
      </c>
      <c r="C178" s="10" t="s">
        <v>106</v>
      </c>
      <c r="D178" s="10" t="s">
        <v>107</v>
      </c>
      <c r="E178" s="10" t="s">
        <v>108</v>
      </c>
      <c r="F178" s="17">
        <v>150</v>
      </c>
      <c r="G178" s="17">
        <v>150</v>
      </c>
      <c r="H178" s="10" t="s">
        <v>338</v>
      </c>
      <c r="I178" s="10">
        <v>0</v>
      </c>
    </row>
    <row r="179" spans="1:9" ht="18.75" customHeight="1">
      <c r="A179" s="10" t="s">
        <v>343</v>
      </c>
      <c r="B179" s="7" t="str">
        <f t="shared" si="2"/>
        <v>(REG-REC-SF3-HP1)</v>
      </c>
      <c r="C179" s="10" t="s">
        <v>110</v>
      </c>
      <c r="D179" s="10" t="s">
        <v>111</v>
      </c>
      <c r="E179" s="10" t="s">
        <v>112</v>
      </c>
      <c r="F179" s="17">
        <v>150</v>
      </c>
      <c r="G179" s="17">
        <v>150</v>
      </c>
      <c r="H179" s="10" t="s">
        <v>338</v>
      </c>
      <c r="I179" s="10">
        <v>0</v>
      </c>
    </row>
    <row r="180" spans="1:9" ht="18.75" customHeight="1">
      <c r="A180" s="10" t="s">
        <v>344</v>
      </c>
      <c r="B180" s="7" t="str">
        <f t="shared" si="2"/>
        <v>(REG-REC-SF3-HP2)</v>
      </c>
      <c r="C180" s="10" t="s">
        <v>114</v>
      </c>
      <c r="D180" s="10" t="s">
        <v>115</v>
      </c>
      <c r="E180" s="10" t="s">
        <v>116</v>
      </c>
      <c r="F180" s="17">
        <v>150</v>
      </c>
      <c r="G180" s="17">
        <v>150</v>
      </c>
      <c r="H180" s="10" t="s">
        <v>338</v>
      </c>
      <c r="I180" s="10">
        <v>0</v>
      </c>
    </row>
    <row r="181" spans="1:9" ht="18.75" customHeight="1">
      <c r="A181" s="10" t="s">
        <v>345</v>
      </c>
      <c r="B181" s="7" t="str">
        <f t="shared" si="2"/>
        <v>(REG-REC-SF3-HP3)</v>
      </c>
      <c r="C181" s="10" t="s">
        <v>118</v>
      </c>
      <c r="D181" s="10" t="s">
        <v>119</v>
      </c>
      <c r="E181" s="10" t="s">
        <v>120</v>
      </c>
      <c r="F181" s="17">
        <v>150</v>
      </c>
      <c r="G181" s="17">
        <v>150</v>
      </c>
      <c r="H181" s="10" t="s">
        <v>338</v>
      </c>
      <c r="I181" s="10">
        <v>0</v>
      </c>
    </row>
    <row r="182" spans="1:9" ht="18.75" customHeight="1">
      <c r="A182" s="10" t="s">
        <v>346</v>
      </c>
      <c r="B182" s="7" t="str">
        <f t="shared" si="2"/>
        <v>(REG-REC-SF3-HP4)</v>
      </c>
      <c r="C182" s="10" t="s">
        <v>122</v>
      </c>
      <c r="D182" s="10" t="s">
        <v>123</v>
      </c>
      <c r="E182" s="10" t="s">
        <v>124</v>
      </c>
      <c r="F182" s="17">
        <v>150</v>
      </c>
      <c r="G182" s="17">
        <v>150</v>
      </c>
      <c r="H182" s="10" t="s">
        <v>338</v>
      </c>
      <c r="I182" s="10">
        <v>0</v>
      </c>
    </row>
    <row r="183" spans="1:9" ht="18.75" customHeight="1">
      <c r="A183" s="10" t="s">
        <v>347</v>
      </c>
      <c r="B183" s="7" t="str">
        <f t="shared" si="2"/>
        <v>(REG-REC-SF3-LP0)</v>
      </c>
      <c r="C183" s="10" t="s">
        <v>126</v>
      </c>
      <c r="D183" s="10" t="s">
        <v>127</v>
      </c>
      <c r="E183" s="10" t="s">
        <v>128</v>
      </c>
      <c r="F183" s="17">
        <v>150</v>
      </c>
      <c r="G183" s="17">
        <v>150</v>
      </c>
      <c r="H183" s="10" t="s">
        <v>338</v>
      </c>
      <c r="I183" s="10">
        <v>0</v>
      </c>
    </row>
    <row r="184" spans="1:9" ht="18.75" customHeight="1">
      <c r="A184" s="10" t="s">
        <v>348</v>
      </c>
      <c r="B184" s="7" t="str">
        <f t="shared" si="2"/>
        <v>(REG-REC-SF3-LP1)</v>
      </c>
      <c r="C184" s="10" t="s">
        <v>130</v>
      </c>
      <c r="D184" s="10" t="s">
        <v>131</v>
      </c>
      <c r="E184" s="10" t="s">
        <v>132</v>
      </c>
      <c r="F184" s="17">
        <v>150</v>
      </c>
      <c r="G184" s="17">
        <v>150</v>
      </c>
      <c r="H184" s="10" t="s">
        <v>338</v>
      </c>
      <c r="I184" s="10">
        <v>0</v>
      </c>
    </row>
    <row r="185" spans="1:9" ht="18.75" customHeight="1">
      <c r="A185" s="10" t="s">
        <v>349</v>
      </c>
      <c r="B185" s="7" t="str">
        <f t="shared" si="2"/>
        <v>(REG-REC-SF3-LP2)</v>
      </c>
      <c r="C185" s="10" t="s">
        <v>134</v>
      </c>
      <c r="D185" s="10" t="s">
        <v>135</v>
      </c>
      <c r="E185" s="10" t="s">
        <v>136</v>
      </c>
      <c r="F185" s="17">
        <v>150</v>
      </c>
      <c r="G185" s="17">
        <v>150</v>
      </c>
      <c r="H185" s="10" t="s">
        <v>338</v>
      </c>
      <c r="I185" s="10">
        <v>0</v>
      </c>
    </row>
    <row r="186" spans="1:9" ht="18.75" customHeight="1">
      <c r="A186" s="10" t="s">
        <v>350</v>
      </c>
      <c r="B186" s="7" t="str">
        <f t="shared" si="2"/>
        <v>(REG-REC-SF3-LP3)</v>
      </c>
      <c r="C186" s="10" t="s">
        <v>138</v>
      </c>
      <c r="D186" s="10" t="s">
        <v>139</v>
      </c>
      <c r="E186" s="10" t="s">
        <v>140</v>
      </c>
      <c r="F186" s="17">
        <v>150</v>
      </c>
      <c r="G186" s="17">
        <v>150</v>
      </c>
      <c r="H186" s="10" t="s">
        <v>338</v>
      </c>
      <c r="I186" s="10">
        <v>0</v>
      </c>
    </row>
    <row r="187" spans="1:9" ht="18.75" customHeight="1">
      <c r="A187" s="10" t="s">
        <v>351</v>
      </c>
      <c r="B187" s="7" t="str">
        <f t="shared" si="2"/>
        <v>(REG-REC-SF3-LP4)</v>
      </c>
      <c r="C187" s="10" t="s">
        <v>142</v>
      </c>
      <c r="D187" s="10" t="s">
        <v>143</v>
      </c>
      <c r="E187" s="10" t="s">
        <v>144</v>
      </c>
      <c r="F187" s="17">
        <v>150</v>
      </c>
      <c r="G187" s="17">
        <v>150</v>
      </c>
      <c r="H187" s="10" t="s">
        <v>338</v>
      </c>
      <c r="I187" s="10">
        <v>0</v>
      </c>
    </row>
    <row r="188" spans="1:9" ht="18.75" customHeight="1">
      <c r="A188" s="10" t="s">
        <v>352</v>
      </c>
      <c r="B188" s="7" t="str">
        <f t="shared" si="2"/>
        <v>(REG-REC-SF3-MP0)</v>
      </c>
      <c r="C188" s="10" t="s">
        <v>146</v>
      </c>
      <c r="D188" s="10" t="s">
        <v>147</v>
      </c>
      <c r="E188" s="10" t="s">
        <v>148</v>
      </c>
      <c r="F188" s="17">
        <v>150</v>
      </c>
      <c r="G188" s="17">
        <v>150</v>
      </c>
      <c r="H188" s="10" t="s">
        <v>338</v>
      </c>
      <c r="I188" s="10">
        <v>0</v>
      </c>
    </row>
    <row r="189" spans="1:9" ht="18.75" customHeight="1">
      <c r="A189" s="10" t="s">
        <v>353</v>
      </c>
      <c r="B189" s="7" t="str">
        <f t="shared" si="2"/>
        <v>(REG-REC-SF3-MP1)</v>
      </c>
      <c r="C189" s="10" t="s">
        <v>150</v>
      </c>
      <c r="D189" s="10" t="s">
        <v>151</v>
      </c>
      <c r="E189" s="10" t="s">
        <v>152</v>
      </c>
      <c r="F189" s="17">
        <v>150</v>
      </c>
      <c r="G189" s="17">
        <v>150</v>
      </c>
      <c r="H189" s="10" t="s">
        <v>338</v>
      </c>
      <c r="I189" s="10">
        <v>0</v>
      </c>
    </row>
    <row r="190" spans="1:9" ht="18.75" customHeight="1">
      <c r="A190" s="10" t="s">
        <v>354</v>
      </c>
      <c r="B190" s="7" t="str">
        <f t="shared" si="2"/>
        <v>(REG-REC-SF3-MP2)</v>
      </c>
      <c r="C190" s="10" t="s">
        <v>154</v>
      </c>
      <c r="D190" s="10" t="s">
        <v>155</v>
      </c>
      <c r="E190" s="10" t="s">
        <v>156</v>
      </c>
      <c r="F190" s="17">
        <v>150</v>
      </c>
      <c r="G190" s="17">
        <v>150</v>
      </c>
      <c r="H190" s="10" t="s">
        <v>338</v>
      </c>
      <c r="I190" s="10">
        <v>0</v>
      </c>
    </row>
    <row r="191" spans="1:9" ht="18.75" customHeight="1">
      <c r="A191" s="10" t="s">
        <v>355</v>
      </c>
      <c r="B191" s="7" t="str">
        <f t="shared" si="2"/>
        <v>(REG-REC-SF3-MP3)</v>
      </c>
      <c r="C191" s="10" t="s">
        <v>158</v>
      </c>
      <c r="D191" s="10" t="s">
        <v>159</v>
      </c>
      <c r="E191" s="10" t="s">
        <v>160</v>
      </c>
      <c r="F191" s="17">
        <v>150</v>
      </c>
      <c r="G191" s="17">
        <v>150</v>
      </c>
      <c r="H191" s="10" t="s">
        <v>338</v>
      </c>
      <c r="I191" s="10">
        <v>0</v>
      </c>
    </row>
    <row r="192" spans="1:9" ht="18.75" customHeight="1">
      <c r="A192" s="10" t="s">
        <v>356</v>
      </c>
      <c r="B192" s="7" t="str">
        <f t="shared" si="2"/>
        <v>(REG-REC-SF3-MP4)</v>
      </c>
      <c r="C192" s="10" t="s">
        <v>162</v>
      </c>
      <c r="D192" s="10" t="s">
        <v>163</v>
      </c>
      <c r="E192" s="10" t="s">
        <v>164</v>
      </c>
      <c r="F192" s="17">
        <v>150</v>
      </c>
      <c r="G192" s="17">
        <v>150</v>
      </c>
      <c r="H192" s="10" t="s">
        <v>338</v>
      </c>
      <c r="I192" s="10">
        <v>0</v>
      </c>
    </row>
    <row r="193" spans="1:9" ht="18.75" customHeight="1">
      <c r="A193" s="10" t="s">
        <v>357</v>
      </c>
      <c r="B193" s="7" t="str">
        <f t="shared" si="2"/>
        <v>(CTH-REC-SF3-HP0)</v>
      </c>
      <c r="C193" s="10" t="s">
        <v>106</v>
      </c>
      <c r="D193" s="10" t="s">
        <v>107</v>
      </c>
      <c r="E193" s="10" t="s">
        <v>108</v>
      </c>
      <c r="F193" s="17">
        <v>150</v>
      </c>
      <c r="G193" s="17">
        <v>150</v>
      </c>
      <c r="H193" s="10" t="s">
        <v>85</v>
      </c>
      <c r="I193" s="10">
        <v>0</v>
      </c>
    </row>
    <row r="194" spans="1:9" ht="18.75" customHeight="1">
      <c r="A194" s="10" t="s">
        <v>358</v>
      </c>
      <c r="B194" s="7" t="str">
        <f t="shared" ref="B194:B241" si="3">"("&amp;A194&amp;")"</f>
        <v>(CTH-REC-SF3-HP1)</v>
      </c>
      <c r="C194" s="10" t="s">
        <v>110</v>
      </c>
      <c r="D194" s="10" t="s">
        <v>111</v>
      </c>
      <c r="E194" s="10" t="s">
        <v>112</v>
      </c>
      <c r="F194" s="17">
        <v>150</v>
      </c>
      <c r="G194" s="17">
        <v>150</v>
      </c>
      <c r="H194" s="10" t="s">
        <v>85</v>
      </c>
      <c r="I194" s="10">
        <v>0</v>
      </c>
    </row>
    <row r="195" spans="1:9" ht="18.75" customHeight="1">
      <c r="A195" s="10" t="s">
        <v>359</v>
      </c>
      <c r="B195" s="7" t="str">
        <f t="shared" si="3"/>
        <v>(CTH-REC-SF3-HP2)</v>
      </c>
      <c r="C195" s="10" t="s">
        <v>114</v>
      </c>
      <c r="D195" s="10" t="s">
        <v>115</v>
      </c>
      <c r="E195" s="10" t="s">
        <v>116</v>
      </c>
      <c r="F195" s="17">
        <v>150</v>
      </c>
      <c r="G195" s="17">
        <v>150</v>
      </c>
      <c r="H195" s="10" t="s">
        <v>85</v>
      </c>
      <c r="I195" s="10">
        <v>0</v>
      </c>
    </row>
    <row r="196" spans="1:9" ht="18.75" customHeight="1">
      <c r="A196" s="10" t="s">
        <v>360</v>
      </c>
      <c r="B196" s="7" t="str">
        <f t="shared" si="3"/>
        <v>(CTH-REC-SF3-HP3)</v>
      </c>
      <c r="C196" s="10" t="s">
        <v>118</v>
      </c>
      <c r="D196" s="10" t="s">
        <v>119</v>
      </c>
      <c r="E196" s="10" t="s">
        <v>120</v>
      </c>
      <c r="F196" s="17">
        <v>150</v>
      </c>
      <c r="G196" s="17">
        <v>150</v>
      </c>
      <c r="H196" s="10" t="s">
        <v>85</v>
      </c>
      <c r="I196" s="10">
        <v>0</v>
      </c>
    </row>
    <row r="197" spans="1:9" ht="18.75" customHeight="1">
      <c r="A197" s="10" t="s">
        <v>361</v>
      </c>
      <c r="B197" s="7" t="str">
        <f t="shared" si="3"/>
        <v>(CTH-REC-SF3-HP4)</v>
      </c>
      <c r="C197" s="10" t="s">
        <v>122</v>
      </c>
      <c r="D197" s="10" t="s">
        <v>123</v>
      </c>
      <c r="E197" s="10" t="s">
        <v>124</v>
      </c>
      <c r="F197" s="17">
        <v>150</v>
      </c>
      <c r="G197" s="17">
        <v>150</v>
      </c>
      <c r="H197" s="10" t="s">
        <v>85</v>
      </c>
      <c r="I197" s="10">
        <v>0</v>
      </c>
    </row>
    <row r="198" spans="1:9" ht="18.75" customHeight="1">
      <c r="A198" s="10" t="s">
        <v>362</v>
      </c>
      <c r="B198" s="7" t="str">
        <f t="shared" si="3"/>
        <v>(CTH-REC-SF3-LP0)</v>
      </c>
      <c r="C198" s="10" t="s">
        <v>126</v>
      </c>
      <c r="D198" s="10" t="s">
        <v>127</v>
      </c>
      <c r="E198" s="10" t="s">
        <v>128</v>
      </c>
      <c r="F198" s="17">
        <v>150</v>
      </c>
      <c r="G198" s="17">
        <v>150</v>
      </c>
      <c r="H198" s="10" t="s">
        <v>85</v>
      </c>
      <c r="I198" s="10">
        <v>0</v>
      </c>
    </row>
    <row r="199" spans="1:9" ht="18.75" customHeight="1">
      <c r="A199" s="10" t="s">
        <v>363</v>
      </c>
      <c r="B199" s="7" t="str">
        <f t="shared" si="3"/>
        <v>(CTH-REC-SF3-LP1)</v>
      </c>
      <c r="C199" s="10" t="s">
        <v>130</v>
      </c>
      <c r="D199" s="10" t="s">
        <v>131</v>
      </c>
      <c r="E199" s="10" t="s">
        <v>132</v>
      </c>
      <c r="F199" s="17">
        <v>150</v>
      </c>
      <c r="G199" s="17">
        <v>150</v>
      </c>
      <c r="H199" s="10" t="s">
        <v>85</v>
      </c>
      <c r="I199" s="10">
        <v>0</v>
      </c>
    </row>
    <row r="200" spans="1:9" ht="18.75" customHeight="1">
      <c r="A200" s="10" t="s">
        <v>364</v>
      </c>
      <c r="B200" s="7" t="str">
        <f t="shared" si="3"/>
        <v>(CTH-REC-SF3-LP2)</v>
      </c>
      <c r="C200" s="10" t="s">
        <v>134</v>
      </c>
      <c r="D200" s="10" t="s">
        <v>135</v>
      </c>
      <c r="E200" s="10" t="s">
        <v>136</v>
      </c>
      <c r="F200" s="17">
        <v>150</v>
      </c>
      <c r="G200" s="17">
        <v>150</v>
      </c>
      <c r="H200" s="10" t="s">
        <v>85</v>
      </c>
      <c r="I200" s="10">
        <v>0</v>
      </c>
    </row>
    <row r="201" spans="1:9" ht="18.75" customHeight="1">
      <c r="A201" s="10" t="s">
        <v>365</v>
      </c>
      <c r="B201" s="7" t="str">
        <f t="shared" si="3"/>
        <v>(CTH-REC-SF3-LP3)</v>
      </c>
      <c r="C201" s="10" t="s">
        <v>138</v>
      </c>
      <c r="D201" s="10" t="s">
        <v>139</v>
      </c>
      <c r="E201" s="10" t="s">
        <v>140</v>
      </c>
      <c r="F201" s="17">
        <v>150</v>
      </c>
      <c r="G201" s="17">
        <v>150</v>
      </c>
      <c r="H201" s="10" t="s">
        <v>85</v>
      </c>
      <c r="I201" s="10">
        <v>0</v>
      </c>
    </row>
    <row r="202" spans="1:9" ht="18.75" customHeight="1">
      <c r="A202" s="10" t="s">
        <v>366</v>
      </c>
      <c r="B202" s="7" t="str">
        <f t="shared" si="3"/>
        <v>(CTH-REC-SF3-LP4)</v>
      </c>
      <c r="C202" s="10" t="s">
        <v>142</v>
      </c>
      <c r="D202" s="10" t="s">
        <v>143</v>
      </c>
      <c r="E202" s="10" t="s">
        <v>144</v>
      </c>
      <c r="F202" s="17">
        <v>150</v>
      </c>
      <c r="G202" s="17">
        <v>150</v>
      </c>
      <c r="H202" s="10" t="s">
        <v>85</v>
      </c>
      <c r="I202" s="10">
        <v>0</v>
      </c>
    </row>
    <row r="203" spans="1:9" ht="18.75" customHeight="1">
      <c r="A203" s="10" t="s">
        <v>367</v>
      </c>
      <c r="B203" s="7" t="str">
        <f t="shared" si="3"/>
        <v>(CTH-REC-SF3-MP0)</v>
      </c>
      <c r="C203" s="10" t="s">
        <v>146</v>
      </c>
      <c r="D203" s="10" t="s">
        <v>147</v>
      </c>
      <c r="E203" s="10" t="s">
        <v>148</v>
      </c>
      <c r="F203" s="17">
        <v>150</v>
      </c>
      <c r="G203" s="17">
        <v>150</v>
      </c>
      <c r="H203" s="10" t="s">
        <v>85</v>
      </c>
      <c r="I203" s="10">
        <v>0</v>
      </c>
    </row>
    <row r="204" spans="1:9" ht="18.75" customHeight="1">
      <c r="A204" s="10" t="s">
        <v>368</v>
      </c>
      <c r="B204" s="7" t="str">
        <f t="shared" si="3"/>
        <v>(CTH-REC-SF3-MP1)</v>
      </c>
      <c r="C204" s="10" t="s">
        <v>150</v>
      </c>
      <c r="D204" s="10" t="s">
        <v>151</v>
      </c>
      <c r="E204" s="10" t="s">
        <v>152</v>
      </c>
      <c r="F204" s="17">
        <v>150</v>
      </c>
      <c r="G204" s="17">
        <v>150</v>
      </c>
      <c r="H204" s="10" t="s">
        <v>85</v>
      </c>
      <c r="I204" s="10">
        <v>0</v>
      </c>
    </row>
    <row r="205" spans="1:9" ht="18.75" customHeight="1">
      <c r="A205" s="10" t="s">
        <v>369</v>
      </c>
      <c r="B205" s="7" t="str">
        <f t="shared" si="3"/>
        <v>(CTH-REC-SF3-MP2)</v>
      </c>
      <c r="C205" s="10" t="s">
        <v>154</v>
      </c>
      <c r="D205" s="10" t="s">
        <v>155</v>
      </c>
      <c r="E205" s="10" t="s">
        <v>156</v>
      </c>
      <c r="F205" s="17">
        <v>150</v>
      </c>
      <c r="G205" s="17">
        <v>150</v>
      </c>
      <c r="H205" s="10" t="s">
        <v>85</v>
      </c>
      <c r="I205" s="10">
        <v>0</v>
      </c>
    </row>
    <row r="206" spans="1:9" ht="18.75" customHeight="1">
      <c r="A206" s="10" t="s">
        <v>370</v>
      </c>
      <c r="B206" s="7" t="str">
        <f t="shared" si="3"/>
        <v>(CTH-REC-SF3-MP3)</v>
      </c>
      <c r="C206" s="10" t="s">
        <v>158</v>
      </c>
      <c r="D206" s="10" t="s">
        <v>159</v>
      </c>
      <c r="E206" s="10" t="s">
        <v>160</v>
      </c>
      <c r="F206" s="17">
        <v>150</v>
      </c>
      <c r="G206" s="17">
        <v>150</v>
      </c>
      <c r="H206" s="10" t="s">
        <v>85</v>
      </c>
      <c r="I206" s="10">
        <v>0</v>
      </c>
    </row>
    <row r="207" spans="1:9" ht="18.75" customHeight="1">
      <c r="A207" s="10" t="s">
        <v>371</v>
      </c>
      <c r="B207" s="7" t="str">
        <f t="shared" si="3"/>
        <v>(CTH-REC-SF3-MP4)</v>
      </c>
      <c r="C207" s="10" t="s">
        <v>162</v>
      </c>
      <c r="D207" s="10" t="s">
        <v>163</v>
      </c>
      <c r="E207" s="10" t="s">
        <v>164</v>
      </c>
      <c r="F207" s="17">
        <v>150</v>
      </c>
      <c r="G207" s="17">
        <v>150</v>
      </c>
      <c r="H207" s="10" t="s">
        <v>85</v>
      </c>
      <c r="I207" s="10">
        <v>0</v>
      </c>
    </row>
    <row r="208" spans="1:9" ht="18.75" customHeight="1">
      <c r="A208" s="10" t="s">
        <v>372</v>
      </c>
      <c r="B208" s="7" t="str">
        <f t="shared" si="3"/>
        <v>(CWC-REC-SF3-HP0)</v>
      </c>
      <c r="C208" s="10" t="s">
        <v>106</v>
      </c>
      <c r="D208" s="10" t="s">
        <v>107</v>
      </c>
      <c r="E208" s="10" t="s">
        <v>108</v>
      </c>
      <c r="F208" s="17">
        <v>150</v>
      </c>
      <c r="G208" s="17">
        <v>150</v>
      </c>
      <c r="H208" s="10" t="s">
        <v>88</v>
      </c>
      <c r="I208" s="10">
        <v>0</v>
      </c>
    </row>
    <row r="209" spans="1:9" ht="18.75" customHeight="1">
      <c r="A209" s="10" t="s">
        <v>373</v>
      </c>
      <c r="B209" s="7" t="str">
        <f t="shared" si="3"/>
        <v>(CWC-REC-SF3-HP1)</v>
      </c>
      <c r="C209" s="10" t="s">
        <v>110</v>
      </c>
      <c r="D209" s="10" t="s">
        <v>111</v>
      </c>
      <c r="E209" s="10" t="s">
        <v>112</v>
      </c>
      <c r="F209" s="17">
        <v>150</v>
      </c>
      <c r="G209" s="17">
        <v>150</v>
      </c>
      <c r="H209" s="10" t="s">
        <v>88</v>
      </c>
      <c r="I209" s="10">
        <v>0</v>
      </c>
    </row>
    <row r="210" spans="1:9" ht="18.75" customHeight="1">
      <c r="A210" s="10" t="s">
        <v>374</v>
      </c>
      <c r="B210" s="7" t="str">
        <f t="shared" si="3"/>
        <v>(CWC-REC-SF3-HP2)</v>
      </c>
      <c r="C210" s="10" t="s">
        <v>114</v>
      </c>
      <c r="D210" s="10" t="s">
        <v>115</v>
      </c>
      <c r="E210" s="10" t="s">
        <v>116</v>
      </c>
      <c r="F210" s="17">
        <v>150</v>
      </c>
      <c r="G210" s="17">
        <v>150</v>
      </c>
      <c r="H210" s="10" t="s">
        <v>88</v>
      </c>
      <c r="I210" s="10">
        <v>0</v>
      </c>
    </row>
    <row r="211" spans="1:9" ht="18.75" customHeight="1">
      <c r="A211" s="10" t="s">
        <v>375</v>
      </c>
      <c r="B211" s="7" t="str">
        <f t="shared" si="3"/>
        <v>(CWC-REC-SF3-HP3)</v>
      </c>
      <c r="C211" s="10" t="s">
        <v>118</v>
      </c>
      <c r="D211" s="10" t="s">
        <v>119</v>
      </c>
      <c r="E211" s="10" t="s">
        <v>120</v>
      </c>
      <c r="F211" s="17">
        <v>150</v>
      </c>
      <c r="G211" s="17">
        <v>150</v>
      </c>
      <c r="H211" s="10" t="s">
        <v>88</v>
      </c>
      <c r="I211" s="10">
        <v>0</v>
      </c>
    </row>
    <row r="212" spans="1:9" ht="18.75" customHeight="1">
      <c r="A212" s="10" t="s">
        <v>376</v>
      </c>
      <c r="B212" s="7" t="str">
        <f t="shared" si="3"/>
        <v>(CWC-REC-SF3-HP4)</v>
      </c>
      <c r="C212" s="10" t="s">
        <v>122</v>
      </c>
      <c r="D212" s="10" t="s">
        <v>123</v>
      </c>
      <c r="E212" s="10" t="s">
        <v>124</v>
      </c>
      <c r="F212" s="17">
        <v>150</v>
      </c>
      <c r="G212" s="17">
        <v>150</v>
      </c>
      <c r="H212" s="10" t="s">
        <v>88</v>
      </c>
      <c r="I212" s="10">
        <v>0</v>
      </c>
    </row>
    <row r="213" spans="1:9" ht="18.75" customHeight="1">
      <c r="A213" s="10" t="s">
        <v>377</v>
      </c>
      <c r="B213" s="7" t="str">
        <f t="shared" si="3"/>
        <v>(CWC-REC-SF3-LP0)</v>
      </c>
      <c r="C213" s="10" t="s">
        <v>126</v>
      </c>
      <c r="D213" s="10" t="s">
        <v>127</v>
      </c>
      <c r="E213" s="10" t="s">
        <v>128</v>
      </c>
      <c r="F213" s="17">
        <v>150</v>
      </c>
      <c r="G213" s="17">
        <v>150</v>
      </c>
      <c r="H213" s="10" t="s">
        <v>88</v>
      </c>
      <c r="I213" s="10">
        <v>0</v>
      </c>
    </row>
    <row r="214" spans="1:9" ht="18.75" customHeight="1">
      <c r="A214" s="10" t="s">
        <v>378</v>
      </c>
      <c r="B214" s="7" t="str">
        <f t="shared" si="3"/>
        <v>(CWC-REC-SF3-LP1)</v>
      </c>
      <c r="C214" s="10" t="s">
        <v>130</v>
      </c>
      <c r="D214" s="10" t="s">
        <v>131</v>
      </c>
      <c r="E214" s="10" t="s">
        <v>132</v>
      </c>
      <c r="F214" s="17">
        <v>150</v>
      </c>
      <c r="G214" s="17">
        <v>150</v>
      </c>
      <c r="H214" s="10" t="s">
        <v>88</v>
      </c>
      <c r="I214" s="10">
        <v>0</v>
      </c>
    </row>
    <row r="215" spans="1:9" ht="18.75" customHeight="1">
      <c r="A215" s="10" t="s">
        <v>379</v>
      </c>
      <c r="B215" s="7" t="str">
        <f t="shared" si="3"/>
        <v>(CWC-REC-SF3-LP2)</v>
      </c>
      <c r="C215" s="10" t="s">
        <v>134</v>
      </c>
      <c r="D215" s="10" t="s">
        <v>135</v>
      </c>
      <c r="E215" s="10" t="s">
        <v>136</v>
      </c>
      <c r="F215" s="17">
        <v>150</v>
      </c>
      <c r="G215" s="17">
        <v>150</v>
      </c>
      <c r="H215" s="10" t="s">
        <v>88</v>
      </c>
      <c r="I215" s="10">
        <v>0</v>
      </c>
    </row>
    <row r="216" spans="1:9" ht="18.75" customHeight="1">
      <c r="A216" s="10" t="s">
        <v>380</v>
      </c>
      <c r="B216" s="7" t="str">
        <f t="shared" si="3"/>
        <v>(CWC-REC-SF3-LP3)</v>
      </c>
      <c r="C216" s="10" t="s">
        <v>138</v>
      </c>
      <c r="D216" s="10" t="s">
        <v>139</v>
      </c>
      <c r="E216" s="10" t="s">
        <v>140</v>
      </c>
      <c r="F216" s="17">
        <v>150</v>
      </c>
      <c r="G216" s="17">
        <v>150</v>
      </c>
      <c r="H216" s="10" t="s">
        <v>88</v>
      </c>
      <c r="I216" s="10">
        <v>0</v>
      </c>
    </row>
    <row r="217" spans="1:9" ht="18.75" customHeight="1">
      <c r="A217" s="10" t="s">
        <v>381</v>
      </c>
      <c r="B217" s="7" t="str">
        <f t="shared" si="3"/>
        <v>(CWC-REC-SF3-LP4)</v>
      </c>
      <c r="C217" s="10" t="s">
        <v>142</v>
      </c>
      <c r="D217" s="10" t="s">
        <v>143</v>
      </c>
      <c r="E217" s="10" t="s">
        <v>144</v>
      </c>
      <c r="F217" s="17">
        <v>150</v>
      </c>
      <c r="G217" s="17">
        <v>150</v>
      </c>
      <c r="H217" s="10" t="s">
        <v>88</v>
      </c>
      <c r="I217" s="10">
        <v>0</v>
      </c>
    </row>
    <row r="218" spans="1:9" ht="18.75" customHeight="1">
      <c r="A218" s="10" t="s">
        <v>382</v>
      </c>
      <c r="B218" s="7" t="str">
        <f t="shared" si="3"/>
        <v>(CWC-REC-SF3-MP0)</v>
      </c>
      <c r="C218" s="10" t="s">
        <v>146</v>
      </c>
      <c r="D218" s="10" t="s">
        <v>147</v>
      </c>
      <c r="E218" s="10" t="s">
        <v>148</v>
      </c>
      <c r="F218" s="17">
        <v>150</v>
      </c>
      <c r="G218" s="17">
        <v>150</v>
      </c>
      <c r="H218" s="10" t="s">
        <v>88</v>
      </c>
      <c r="I218" s="10">
        <v>0</v>
      </c>
    </row>
    <row r="219" spans="1:9" ht="18.75" customHeight="1">
      <c r="A219" s="10" t="s">
        <v>383</v>
      </c>
      <c r="B219" s="7" t="str">
        <f t="shared" si="3"/>
        <v>(CWC-REC-SF3-MP1)</v>
      </c>
      <c r="C219" s="10" t="s">
        <v>150</v>
      </c>
      <c r="D219" s="10" t="s">
        <v>151</v>
      </c>
      <c r="E219" s="10" t="s">
        <v>152</v>
      </c>
      <c r="F219" s="17">
        <v>150</v>
      </c>
      <c r="G219" s="17">
        <v>150</v>
      </c>
      <c r="H219" s="10" t="s">
        <v>88</v>
      </c>
      <c r="I219" s="10">
        <v>0</v>
      </c>
    </row>
    <row r="220" spans="1:9" ht="18.75" customHeight="1">
      <c r="A220" s="10" t="s">
        <v>384</v>
      </c>
      <c r="B220" s="7" t="str">
        <f t="shared" si="3"/>
        <v>(CWC-REC-SF3-MP2)</v>
      </c>
      <c r="C220" s="10" t="s">
        <v>154</v>
      </c>
      <c r="D220" s="10" t="s">
        <v>155</v>
      </c>
      <c r="E220" s="10" t="s">
        <v>156</v>
      </c>
      <c r="F220" s="17">
        <v>150</v>
      </c>
      <c r="G220" s="17">
        <v>150</v>
      </c>
      <c r="H220" s="10" t="s">
        <v>88</v>
      </c>
      <c r="I220" s="10">
        <v>0</v>
      </c>
    </row>
    <row r="221" spans="1:9" ht="18.75" customHeight="1">
      <c r="A221" s="10" t="s">
        <v>385</v>
      </c>
      <c r="B221" s="7" t="str">
        <f t="shared" si="3"/>
        <v>(CWC-REC-SF3-MP3)</v>
      </c>
      <c r="C221" s="10" t="s">
        <v>158</v>
      </c>
      <c r="D221" s="10" t="s">
        <v>159</v>
      </c>
      <c r="E221" s="10" t="s">
        <v>160</v>
      </c>
      <c r="F221" s="17">
        <v>150</v>
      </c>
      <c r="G221" s="17">
        <v>150</v>
      </c>
      <c r="H221" s="10" t="s">
        <v>88</v>
      </c>
      <c r="I221" s="10">
        <v>0</v>
      </c>
    </row>
    <row r="222" spans="1:9" ht="18.75" customHeight="1">
      <c r="A222" s="10" t="s">
        <v>386</v>
      </c>
      <c r="B222" s="7" t="str">
        <f t="shared" si="3"/>
        <v>(CWC-REC-SF3-MP4)</v>
      </c>
      <c r="C222" s="10" t="s">
        <v>162</v>
      </c>
      <c r="D222" s="10" t="s">
        <v>163</v>
      </c>
      <c r="E222" s="10" t="s">
        <v>164</v>
      </c>
      <c r="F222" s="17">
        <v>150</v>
      </c>
      <c r="G222" s="17">
        <v>150</v>
      </c>
      <c r="H222" s="10" t="s">
        <v>88</v>
      </c>
      <c r="I222" s="10">
        <v>0</v>
      </c>
    </row>
    <row r="223" spans="1:9" ht="18.75" customHeight="1">
      <c r="A223" s="10" t="s">
        <v>387</v>
      </c>
      <c r="B223" s="7" t="str">
        <f t="shared" si="3"/>
        <v>(VOL-REC-MM-1)</v>
      </c>
      <c r="C223" s="22" t="s">
        <v>181</v>
      </c>
      <c r="D223" s="10" t="s">
        <v>182</v>
      </c>
      <c r="E223" s="10" t="s">
        <v>183</v>
      </c>
      <c r="F223" s="17">
        <v>225</v>
      </c>
      <c r="G223" s="17">
        <v>0</v>
      </c>
      <c r="H223" s="10" t="s">
        <v>10</v>
      </c>
      <c r="I223" s="10">
        <v>0</v>
      </c>
    </row>
    <row r="224" spans="1:9" ht="18.75" customHeight="1">
      <c r="A224" s="10" t="s">
        <v>388</v>
      </c>
      <c r="B224" s="7" t="str">
        <f t="shared" si="3"/>
        <v>(VOL-REC-MM-2)</v>
      </c>
      <c r="C224" s="22" t="s">
        <v>185</v>
      </c>
      <c r="D224" s="10" t="s">
        <v>186</v>
      </c>
      <c r="E224" s="10" t="s">
        <v>187</v>
      </c>
      <c r="F224" s="17">
        <v>225</v>
      </c>
      <c r="G224" s="17">
        <v>0</v>
      </c>
      <c r="H224" s="10" t="s">
        <v>10</v>
      </c>
      <c r="I224" s="10">
        <v>0</v>
      </c>
    </row>
    <row r="225" spans="1:9" ht="18.75" customHeight="1">
      <c r="A225" s="10" t="s">
        <v>389</v>
      </c>
      <c r="B225" s="7" t="str">
        <f t="shared" si="3"/>
        <v>(VOL-REC-MM-3)</v>
      </c>
      <c r="C225" s="22" t="s">
        <v>189</v>
      </c>
      <c r="D225" s="10" t="s">
        <v>190</v>
      </c>
      <c r="E225" s="10" t="s">
        <v>191</v>
      </c>
      <c r="F225" s="17">
        <v>225</v>
      </c>
      <c r="G225" s="17">
        <v>0</v>
      </c>
      <c r="H225" s="10" t="s">
        <v>10</v>
      </c>
      <c r="I225" s="10">
        <v>0</v>
      </c>
    </row>
    <row r="226" spans="1:9" ht="18.75" customHeight="1">
      <c r="A226" s="10" t="s">
        <v>390</v>
      </c>
      <c r="B226" s="7" t="str">
        <f t="shared" si="3"/>
        <v>(VOL-REC-MM-4)</v>
      </c>
      <c r="C226" s="22" t="s">
        <v>193</v>
      </c>
      <c r="D226" s="10" t="s">
        <v>194</v>
      </c>
      <c r="E226" s="10" t="s">
        <v>195</v>
      </c>
      <c r="F226" s="17">
        <v>225</v>
      </c>
      <c r="G226" s="17">
        <v>0</v>
      </c>
      <c r="H226" s="10" t="s">
        <v>10</v>
      </c>
      <c r="I226" s="10">
        <v>0</v>
      </c>
    </row>
    <row r="227" spans="1:9" ht="18.75" customHeight="1">
      <c r="A227" s="10" t="s">
        <v>391</v>
      </c>
      <c r="B227" s="7" t="str">
        <f t="shared" si="3"/>
        <v>(VOL-REC-SF3-HP0)</v>
      </c>
      <c r="C227" s="22" t="s">
        <v>106</v>
      </c>
      <c r="D227" s="10" t="s">
        <v>107</v>
      </c>
      <c r="E227" s="10" t="s">
        <v>108</v>
      </c>
      <c r="F227" s="17">
        <v>150</v>
      </c>
      <c r="G227" s="17">
        <v>150</v>
      </c>
      <c r="H227" s="10" t="s">
        <v>10</v>
      </c>
      <c r="I227" s="10">
        <v>0</v>
      </c>
    </row>
    <row r="228" spans="1:9" ht="18.75" customHeight="1">
      <c r="A228" s="10" t="s">
        <v>392</v>
      </c>
      <c r="B228" s="7" t="str">
        <f t="shared" si="3"/>
        <v>(VOL-REC-SF3-HP1)</v>
      </c>
      <c r="C228" s="22" t="s">
        <v>110</v>
      </c>
      <c r="D228" s="10" t="s">
        <v>111</v>
      </c>
      <c r="E228" s="10" t="s">
        <v>112</v>
      </c>
      <c r="F228" s="17">
        <v>150</v>
      </c>
      <c r="G228" s="17">
        <v>150</v>
      </c>
      <c r="H228" s="10" t="s">
        <v>10</v>
      </c>
      <c r="I228" s="10">
        <v>0</v>
      </c>
    </row>
    <row r="229" spans="1:9" ht="18.75" customHeight="1">
      <c r="A229" s="10" t="s">
        <v>393</v>
      </c>
      <c r="B229" s="7" t="str">
        <f t="shared" si="3"/>
        <v>(VOL-REC-SF3-HP2)</v>
      </c>
      <c r="C229" s="22" t="s">
        <v>114</v>
      </c>
      <c r="D229" s="10" t="s">
        <v>115</v>
      </c>
      <c r="E229" s="10" t="s">
        <v>116</v>
      </c>
      <c r="F229" s="17">
        <v>150</v>
      </c>
      <c r="G229" s="17">
        <v>150</v>
      </c>
      <c r="H229" s="10" t="s">
        <v>10</v>
      </c>
      <c r="I229" s="10">
        <v>0</v>
      </c>
    </row>
    <row r="230" spans="1:9" ht="18.75" customHeight="1">
      <c r="A230" s="10" t="s">
        <v>394</v>
      </c>
      <c r="B230" s="7" t="str">
        <f t="shared" si="3"/>
        <v>(VOL-REC-SF3-HP3)</v>
      </c>
      <c r="C230" s="22" t="s">
        <v>118</v>
      </c>
      <c r="D230" s="10" t="s">
        <v>119</v>
      </c>
      <c r="E230" s="10" t="s">
        <v>120</v>
      </c>
      <c r="F230" s="17">
        <v>150</v>
      </c>
      <c r="G230" s="17">
        <v>150</v>
      </c>
      <c r="H230" s="10" t="s">
        <v>10</v>
      </c>
      <c r="I230" s="10">
        <v>0</v>
      </c>
    </row>
    <row r="231" spans="1:9" ht="18.75" customHeight="1">
      <c r="A231" s="10" t="s">
        <v>395</v>
      </c>
      <c r="B231" s="7" t="str">
        <f t="shared" si="3"/>
        <v>(VOL-REC-SF3-HP4)</v>
      </c>
      <c r="C231" s="22" t="s">
        <v>122</v>
      </c>
      <c r="D231" s="10" t="s">
        <v>123</v>
      </c>
      <c r="E231" s="10" t="s">
        <v>124</v>
      </c>
      <c r="F231" s="17">
        <v>150</v>
      </c>
      <c r="G231" s="17">
        <v>150</v>
      </c>
      <c r="H231" s="10" t="s">
        <v>10</v>
      </c>
      <c r="I231" s="10">
        <v>0</v>
      </c>
    </row>
    <row r="232" spans="1:9" ht="18.75" customHeight="1">
      <c r="A232" s="10" t="s">
        <v>396</v>
      </c>
      <c r="B232" s="7" t="str">
        <f t="shared" si="3"/>
        <v>(VOL-REC-SF3-LP0)</v>
      </c>
      <c r="C232" s="22" t="s">
        <v>126</v>
      </c>
      <c r="D232" s="10" t="s">
        <v>127</v>
      </c>
      <c r="E232" s="10" t="s">
        <v>128</v>
      </c>
      <c r="F232" s="17">
        <v>150</v>
      </c>
      <c r="G232" s="17">
        <v>150</v>
      </c>
      <c r="H232" s="10" t="s">
        <v>10</v>
      </c>
      <c r="I232" s="10">
        <v>0</v>
      </c>
    </row>
    <row r="233" spans="1:9" ht="18.75" customHeight="1">
      <c r="A233" s="10" t="s">
        <v>397</v>
      </c>
      <c r="B233" s="7" t="str">
        <f t="shared" si="3"/>
        <v>(VOL-REC-SF3-LP1)</v>
      </c>
      <c r="C233" s="22" t="s">
        <v>130</v>
      </c>
      <c r="D233" s="10" t="s">
        <v>131</v>
      </c>
      <c r="E233" s="10" t="s">
        <v>132</v>
      </c>
      <c r="F233" s="17">
        <v>150</v>
      </c>
      <c r="G233" s="17">
        <v>150</v>
      </c>
      <c r="H233" s="10" t="s">
        <v>10</v>
      </c>
      <c r="I233" s="10">
        <v>0</v>
      </c>
    </row>
    <row r="234" spans="1:9" ht="18.75" customHeight="1">
      <c r="A234" s="10" t="s">
        <v>398</v>
      </c>
      <c r="B234" s="7" t="str">
        <f t="shared" si="3"/>
        <v>(VOL-REC-SF3-LP2)</v>
      </c>
      <c r="C234" s="22" t="s">
        <v>134</v>
      </c>
      <c r="D234" s="10" t="s">
        <v>135</v>
      </c>
      <c r="E234" s="10" t="s">
        <v>136</v>
      </c>
      <c r="F234" s="17">
        <v>150</v>
      </c>
      <c r="G234" s="17">
        <v>150</v>
      </c>
      <c r="H234" s="10" t="s">
        <v>10</v>
      </c>
      <c r="I234" s="10">
        <v>0</v>
      </c>
    </row>
    <row r="235" spans="1:9" ht="18.75" customHeight="1">
      <c r="A235" s="10" t="s">
        <v>399</v>
      </c>
      <c r="B235" s="7" t="str">
        <f t="shared" si="3"/>
        <v>(VOL-REC-SF3-LP3)</v>
      </c>
      <c r="C235" s="22" t="s">
        <v>138</v>
      </c>
      <c r="D235" s="10" t="s">
        <v>139</v>
      </c>
      <c r="E235" s="10" t="s">
        <v>140</v>
      </c>
      <c r="F235" s="17">
        <v>150</v>
      </c>
      <c r="G235" s="17">
        <v>150</v>
      </c>
      <c r="H235" s="10" t="s">
        <v>10</v>
      </c>
      <c r="I235" s="10">
        <v>0</v>
      </c>
    </row>
    <row r="236" spans="1:9" ht="18.75" customHeight="1">
      <c r="A236" s="10" t="s">
        <v>400</v>
      </c>
      <c r="B236" s="7" t="str">
        <f t="shared" si="3"/>
        <v>(VOL-REC-SF3-LP4)</v>
      </c>
      <c r="C236" s="22" t="s">
        <v>142</v>
      </c>
      <c r="D236" s="10" t="s">
        <v>143</v>
      </c>
      <c r="E236" s="10" t="s">
        <v>144</v>
      </c>
      <c r="F236" s="17">
        <v>150</v>
      </c>
      <c r="G236" s="17">
        <v>150</v>
      </c>
      <c r="H236" s="10" t="s">
        <v>10</v>
      </c>
      <c r="I236" s="10">
        <v>0</v>
      </c>
    </row>
    <row r="237" spans="1:9" ht="18.75" customHeight="1">
      <c r="A237" s="10" t="s">
        <v>401</v>
      </c>
      <c r="B237" s="7" t="str">
        <f t="shared" si="3"/>
        <v>(VOL-REC-SF3-MP0)</v>
      </c>
      <c r="C237" s="22" t="s">
        <v>146</v>
      </c>
      <c r="D237" s="10" t="s">
        <v>147</v>
      </c>
      <c r="E237" s="10" t="s">
        <v>148</v>
      </c>
      <c r="F237" s="17">
        <v>150</v>
      </c>
      <c r="G237" s="17">
        <v>150</v>
      </c>
      <c r="H237" s="10" t="s">
        <v>10</v>
      </c>
      <c r="I237" s="10">
        <v>0</v>
      </c>
    </row>
    <row r="238" spans="1:9" ht="18.75" customHeight="1">
      <c r="A238" s="10" t="s">
        <v>402</v>
      </c>
      <c r="B238" s="7" t="str">
        <f t="shared" si="3"/>
        <v>(VOL-REC-SF3-MP1)</v>
      </c>
      <c r="C238" s="22" t="s">
        <v>150</v>
      </c>
      <c r="D238" s="10" t="s">
        <v>151</v>
      </c>
      <c r="E238" s="10" t="s">
        <v>152</v>
      </c>
      <c r="F238" s="17">
        <v>150</v>
      </c>
      <c r="G238" s="17">
        <v>150</v>
      </c>
      <c r="H238" s="10" t="s">
        <v>10</v>
      </c>
      <c r="I238" s="10">
        <v>0</v>
      </c>
    </row>
    <row r="239" spans="1:9" ht="18.75" customHeight="1">
      <c r="A239" s="10" t="s">
        <v>403</v>
      </c>
      <c r="B239" s="7" t="str">
        <f t="shared" si="3"/>
        <v>(VOL-REC-SF3-MP2)</v>
      </c>
      <c r="C239" s="22" t="s">
        <v>154</v>
      </c>
      <c r="D239" s="10" t="s">
        <v>155</v>
      </c>
      <c r="E239" s="10" t="s">
        <v>156</v>
      </c>
      <c r="F239" s="17">
        <v>150</v>
      </c>
      <c r="G239" s="17">
        <v>150</v>
      </c>
      <c r="H239" s="10" t="s">
        <v>10</v>
      </c>
      <c r="I239" s="10">
        <v>0</v>
      </c>
    </row>
    <row r="240" spans="1:9" ht="18.75" customHeight="1">
      <c r="A240" s="10" t="s">
        <v>404</v>
      </c>
      <c r="B240" s="7" t="str">
        <f t="shared" si="3"/>
        <v>(VOL-REC-SF3-MP3)</v>
      </c>
      <c r="C240" s="22" t="s">
        <v>158</v>
      </c>
      <c r="D240" s="10" t="s">
        <v>159</v>
      </c>
      <c r="E240" s="10" t="s">
        <v>160</v>
      </c>
      <c r="F240" s="17">
        <v>150</v>
      </c>
      <c r="G240" s="17">
        <v>150</v>
      </c>
      <c r="H240" s="10" t="s">
        <v>10</v>
      </c>
      <c r="I240" s="10">
        <v>0</v>
      </c>
    </row>
    <row r="241" spans="1:9" ht="18.75" customHeight="1">
      <c r="A241" s="10" t="s">
        <v>405</v>
      </c>
      <c r="B241" s="7" t="str">
        <f t="shared" si="3"/>
        <v>(VOL-REC-SF3-MP4)</v>
      </c>
      <c r="C241" s="22" t="s">
        <v>162</v>
      </c>
      <c r="D241" s="10" t="s">
        <v>163</v>
      </c>
      <c r="E241" s="10" t="s">
        <v>164</v>
      </c>
      <c r="F241" s="17">
        <v>150</v>
      </c>
      <c r="G241" s="17">
        <v>150</v>
      </c>
      <c r="H241" s="10" t="s">
        <v>10</v>
      </c>
      <c r="I241" s="10">
        <v>0</v>
      </c>
    </row>
    <row r="242" spans="1:9" ht="18.75" customHeight="1">
      <c r="A242" s="10" t="s">
        <v>406</v>
      </c>
      <c r="B242" s="7" t="str">
        <f t="shared" ref="B242:B260" si="4">"("&amp;A242&amp;")"</f>
        <v>(MO-REC-MM-1)</v>
      </c>
      <c r="C242" s="22" t="s">
        <v>181</v>
      </c>
      <c r="D242" s="10" t="s">
        <v>182</v>
      </c>
      <c r="E242" s="10" t="s">
        <v>183</v>
      </c>
      <c r="F242" s="17">
        <v>225</v>
      </c>
      <c r="G242" s="17">
        <v>0</v>
      </c>
      <c r="H242" s="10" t="s">
        <v>80</v>
      </c>
      <c r="I242" s="10">
        <v>0</v>
      </c>
    </row>
    <row r="243" spans="1:9" ht="18.75" customHeight="1">
      <c r="A243" s="10" t="s">
        <v>407</v>
      </c>
      <c r="B243" s="7" t="str">
        <f t="shared" si="4"/>
        <v>(MO-REC-MM-2)</v>
      </c>
      <c r="C243" s="22" t="s">
        <v>185</v>
      </c>
      <c r="D243" s="10" t="s">
        <v>186</v>
      </c>
      <c r="E243" s="10" t="s">
        <v>187</v>
      </c>
      <c r="F243" s="17">
        <v>225</v>
      </c>
      <c r="G243" s="17">
        <v>0</v>
      </c>
      <c r="H243" s="10" t="s">
        <v>80</v>
      </c>
      <c r="I243" s="10">
        <v>0</v>
      </c>
    </row>
    <row r="244" spans="1:9" ht="18.75" customHeight="1">
      <c r="A244" s="10" t="s">
        <v>408</v>
      </c>
      <c r="B244" s="7" t="str">
        <f t="shared" si="4"/>
        <v>(MO-REC-MM-3)</v>
      </c>
      <c r="C244" s="22" t="s">
        <v>189</v>
      </c>
      <c r="D244" s="10" t="s">
        <v>190</v>
      </c>
      <c r="E244" s="10" t="s">
        <v>191</v>
      </c>
      <c r="F244" s="17">
        <v>225</v>
      </c>
      <c r="G244" s="17">
        <v>0</v>
      </c>
      <c r="H244" s="10" t="s">
        <v>80</v>
      </c>
      <c r="I244" s="10">
        <v>0</v>
      </c>
    </row>
    <row r="245" spans="1:9" ht="18.75" customHeight="1">
      <c r="A245" s="10" t="s">
        <v>409</v>
      </c>
      <c r="B245" s="7" t="str">
        <f t="shared" si="4"/>
        <v>(MO-REC-MM-4)</v>
      </c>
      <c r="C245" s="22" t="s">
        <v>193</v>
      </c>
      <c r="D245" s="10" t="s">
        <v>194</v>
      </c>
      <c r="E245" s="10" t="s">
        <v>195</v>
      </c>
      <c r="F245" s="17">
        <v>225</v>
      </c>
      <c r="G245" s="17">
        <v>0</v>
      </c>
      <c r="H245" s="10" t="s">
        <v>80</v>
      </c>
      <c r="I245" s="10">
        <v>0</v>
      </c>
    </row>
    <row r="246" spans="1:9" ht="18.75" customHeight="1">
      <c r="A246" s="10" t="s">
        <v>410</v>
      </c>
      <c r="B246" s="7" t="str">
        <f t="shared" si="4"/>
        <v>(MO-REC-SF3-HP0)</v>
      </c>
      <c r="C246" s="22" t="s">
        <v>106</v>
      </c>
      <c r="D246" s="10" t="s">
        <v>107</v>
      </c>
      <c r="E246" s="10" t="s">
        <v>108</v>
      </c>
      <c r="F246" s="17">
        <v>150</v>
      </c>
      <c r="G246" s="17">
        <v>150</v>
      </c>
      <c r="H246" s="10" t="s">
        <v>80</v>
      </c>
      <c r="I246" s="10">
        <v>0</v>
      </c>
    </row>
    <row r="247" spans="1:9" ht="18.75" customHeight="1">
      <c r="A247" s="10" t="s">
        <v>411</v>
      </c>
      <c r="B247" s="7" t="str">
        <f t="shared" si="4"/>
        <v>(MO-REC-SF3-HP1)</v>
      </c>
      <c r="C247" s="22" t="s">
        <v>110</v>
      </c>
      <c r="D247" s="10" t="s">
        <v>111</v>
      </c>
      <c r="E247" s="10" t="s">
        <v>112</v>
      </c>
      <c r="F247" s="17">
        <v>150</v>
      </c>
      <c r="G247" s="17">
        <v>150</v>
      </c>
      <c r="H247" s="10" t="s">
        <v>80</v>
      </c>
      <c r="I247" s="10">
        <v>0</v>
      </c>
    </row>
    <row r="248" spans="1:9" ht="18.75" customHeight="1">
      <c r="A248" s="10" t="s">
        <v>412</v>
      </c>
      <c r="B248" s="7" t="str">
        <f t="shared" si="4"/>
        <v>(MO-REC-SF3-HP2)</v>
      </c>
      <c r="C248" s="22" t="s">
        <v>114</v>
      </c>
      <c r="D248" s="10" t="s">
        <v>115</v>
      </c>
      <c r="E248" s="10" t="s">
        <v>116</v>
      </c>
      <c r="F248" s="17">
        <v>150</v>
      </c>
      <c r="G248" s="17">
        <v>150</v>
      </c>
      <c r="H248" s="10" t="s">
        <v>80</v>
      </c>
      <c r="I248" s="10">
        <v>0</v>
      </c>
    </row>
    <row r="249" spans="1:9" ht="18.75" customHeight="1">
      <c r="A249" s="10" t="s">
        <v>413</v>
      </c>
      <c r="B249" s="7" t="str">
        <f t="shared" si="4"/>
        <v>(MO-REC-SF3-HP3)</v>
      </c>
      <c r="C249" s="22" t="s">
        <v>118</v>
      </c>
      <c r="D249" s="10" t="s">
        <v>119</v>
      </c>
      <c r="E249" s="10" t="s">
        <v>120</v>
      </c>
      <c r="F249" s="17">
        <v>150</v>
      </c>
      <c r="G249" s="17">
        <v>150</v>
      </c>
      <c r="H249" s="10" t="s">
        <v>80</v>
      </c>
      <c r="I249" s="10">
        <v>0</v>
      </c>
    </row>
    <row r="250" spans="1:9" ht="18.75" customHeight="1">
      <c r="A250" s="10" t="s">
        <v>414</v>
      </c>
      <c r="B250" s="7" t="str">
        <f t="shared" si="4"/>
        <v>(MO-REC-SF3-HP4)</v>
      </c>
      <c r="C250" s="22" t="s">
        <v>122</v>
      </c>
      <c r="D250" s="10" t="s">
        <v>123</v>
      </c>
      <c r="E250" s="10" t="s">
        <v>124</v>
      </c>
      <c r="F250" s="17">
        <v>150</v>
      </c>
      <c r="G250" s="17">
        <v>150</v>
      </c>
      <c r="H250" s="10" t="s">
        <v>80</v>
      </c>
      <c r="I250" s="10">
        <v>0</v>
      </c>
    </row>
    <row r="251" spans="1:9" ht="18.75" customHeight="1">
      <c r="A251" s="10" t="s">
        <v>415</v>
      </c>
      <c r="B251" s="7" t="str">
        <f t="shared" si="4"/>
        <v>(MO-REC-SF3-LP0)</v>
      </c>
      <c r="C251" s="22" t="s">
        <v>126</v>
      </c>
      <c r="D251" s="10" t="s">
        <v>127</v>
      </c>
      <c r="E251" s="10" t="s">
        <v>128</v>
      </c>
      <c r="F251" s="17">
        <v>150</v>
      </c>
      <c r="G251" s="17">
        <v>150</v>
      </c>
      <c r="H251" s="10" t="s">
        <v>80</v>
      </c>
      <c r="I251" s="10">
        <v>0</v>
      </c>
    </row>
    <row r="252" spans="1:9" ht="18.75" customHeight="1">
      <c r="A252" s="10" t="s">
        <v>416</v>
      </c>
      <c r="B252" s="7" t="str">
        <f t="shared" si="4"/>
        <v>(MO-REC-SF3-LP1)</v>
      </c>
      <c r="C252" s="22" t="s">
        <v>130</v>
      </c>
      <c r="D252" s="10" t="s">
        <v>131</v>
      </c>
      <c r="E252" s="10" t="s">
        <v>132</v>
      </c>
      <c r="F252" s="17">
        <v>150</v>
      </c>
      <c r="G252" s="17">
        <v>150</v>
      </c>
      <c r="H252" s="10" t="s">
        <v>80</v>
      </c>
      <c r="I252" s="10">
        <v>0</v>
      </c>
    </row>
    <row r="253" spans="1:9" ht="18.75" customHeight="1">
      <c r="A253" s="10" t="s">
        <v>417</v>
      </c>
      <c r="B253" s="7" t="str">
        <f t="shared" si="4"/>
        <v>(MO-REC-SF3-LP2)</v>
      </c>
      <c r="C253" s="22" t="s">
        <v>134</v>
      </c>
      <c r="D253" s="10" t="s">
        <v>135</v>
      </c>
      <c r="E253" s="10" t="s">
        <v>136</v>
      </c>
      <c r="F253" s="17">
        <v>150</v>
      </c>
      <c r="G253" s="17">
        <v>150</v>
      </c>
      <c r="H253" s="10" t="s">
        <v>80</v>
      </c>
      <c r="I253" s="10">
        <v>0</v>
      </c>
    </row>
    <row r="254" spans="1:9" ht="18.75" customHeight="1">
      <c r="A254" s="10" t="s">
        <v>418</v>
      </c>
      <c r="B254" s="7" t="str">
        <f t="shared" si="4"/>
        <v>(MO-REC-SF3-LP3)</v>
      </c>
      <c r="C254" s="22" t="s">
        <v>138</v>
      </c>
      <c r="D254" s="10" t="s">
        <v>139</v>
      </c>
      <c r="E254" s="10" t="s">
        <v>140</v>
      </c>
      <c r="F254" s="17">
        <v>150</v>
      </c>
      <c r="G254" s="17">
        <v>150</v>
      </c>
      <c r="H254" s="10" t="s">
        <v>80</v>
      </c>
      <c r="I254" s="10">
        <v>0</v>
      </c>
    </row>
    <row r="255" spans="1:9" ht="18.75" customHeight="1">
      <c r="A255" s="10" t="s">
        <v>419</v>
      </c>
      <c r="B255" s="7" t="str">
        <f t="shared" si="4"/>
        <v>(MO-REC-SF3-LP4)</v>
      </c>
      <c r="C255" s="22" t="s">
        <v>142</v>
      </c>
      <c r="D255" s="10" t="s">
        <v>143</v>
      </c>
      <c r="E255" s="10" t="s">
        <v>144</v>
      </c>
      <c r="F255" s="17">
        <v>150</v>
      </c>
      <c r="G255" s="17">
        <v>150</v>
      </c>
      <c r="H255" s="10" t="s">
        <v>80</v>
      </c>
      <c r="I255" s="10">
        <v>0</v>
      </c>
    </row>
    <row r="256" spans="1:9" ht="18.75" customHeight="1">
      <c r="A256" s="10" t="s">
        <v>420</v>
      </c>
      <c r="B256" s="7" t="str">
        <f t="shared" si="4"/>
        <v>(MO-REC-SF3-MP0)</v>
      </c>
      <c r="C256" s="22" t="s">
        <v>146</v>
      </c>
      <c r="D256" s="10" t="s">
        <v>147</v>
      </c>
      <c r="E256" s="10" t="s">
        <v>148</v>
      </c>
      <c r="F256" s="17">
        <v>150</v>
      </c>
      <c r="G256" s="17">
        <v>150</v>
      </c>
      <c r="H256" s="10" t="s">
        <v>80</v>
      </c>
      <c r="I256" s="10">
        <v>0</v>
      </c>
    </row>
    <row r="257" spans="1:9" ht="18.75" customHeight="1">
      <c r="A257" s="10" t="s">
        <v>421</v>
      </c>
      <c r="B257" s="7" t="str">
        <f t="shared" si="4"/>
        <v>(MO-REC-SF3-MP1)</v>
      </c>
      <c r="C257" s="22" t="s">
        <v>150</v>
      </c>
      <c r="D257" s="10" t="s">
        <v>151</v>
      </c>
      <c r="E257" s="10" t="s">
        <v>152</v>
      </c>
      <c r="F257" s="17">
        <v>150</v>
      </c>
      <c r="G257" s="17">
        <v>150</v>
      </c>
      <c r="H257" s="10" t="s">
        <v>80</v>
      </c>
      <c r="I257" s="10">
        <v>0</v>
      </c>
    </row>
    <row r="258" spans="1:9" ht="18.75" customHeight="1">
      <c r="A258" s="10" t="s">
        <v>422</v>
      </c>
      <c r="B258" s="7" t="str">
        <f t="shared" si="4"/>
        <v>(MO-REC-SF3-MP2)</v>
      </c>
      <c r="C258" s="22" t="s">
        <v>154</v>
      </c>
      <c r="D258" s="10" t="s">
        <v>155</v>
      </c>
      <c r="E258" s="10" t="s">
        <v>156</v>
      </c>
      <c r="F258" s="17">
        <v>150</v>
      </c>
      <c r="G258" s="17">
        <v>150</v>
      </c>
      <c r="H258" s="10" t="s">
        <v>80</v>
      </c>
      <c r="I258" s="10">
        <v>0</v>
      </c>
    </row>
    <row r="259" spans="1:9" ht="18.75" customHeight="1">
      <c r="A259" s="10" t="s">
        <v>423</v>
      </c>
      <c r="B259" s="7" t="str">
        <f t="shared" si="4"/>
        <v>(MO-REC-SF3-MP3)</v>
      </c>
      <c r="C259" s="22" t="s">
        <v>158</v>
      </c>
      <c r="D259" s="10" t="s">
        <v>159</v>
      </c>
      <c r="E259" s="10" t="s">
        <v>160</v>
      </c>
      <c r="F259" s="17">
        <v>150</v>
      </c>
      <c r="G259" s="17">
        <v>150</v>
      </c>
      <c r="H259" s="10" t="s">
        <v>80</v>
      </c>
      <c r="I259" s="10">
        <v>0</v>
      </c>
    </row>
    <row r="260" spans="1:9" ht="18.75" customHeight="1">
      <c r="A260" s="10" t="s">
        <v>424</v>
      </c>
      <c r="B260" s="7" t="str">
        <f t="shared" si="4"/>
        <v>(MO-REC-SF3-MP4)</v>
      </c>
      <c r="C260" s="22" t="s">
        <v>162</v>
      </c>
      <c r="D260" s="10" t="s">
        <v>163</v>
      </c>
      <c r="E260" s="10" t="s">
        <v>164</v>
      </c>
      <c r="F260" s="17">
        <v>150</v>
      </c>
      <c r="G260" s="17">
        <v>150</v>
      </c>
      <c r="H260" s="10" t="s">
        <v>80</v>
      </c>
      <c r="I260" s="10">
        <v>0</v>
      </c>
    </row>
    <row r="261" spans="1:9" ht="18.75" customHeight="1">
      <c r="A261" s="10"/>
      <c r="B261" s="7"/>
      <c r="C261" s="7"/>
      <c r="D261" s="10"/>
      <c r="E261" s="10"/>
      <c r="F261" s="10"/>
      <c r="G261" s="17"/>
      <c r="H261" s="10"/>
    </row>
    <row r="262" spans="1:9" ht="18.75" customHeight="1">
      <c r="A262" s="10"/>
      <c r="B262" s="7"/>
      <c r="C262" s="7"/>
      <c r="D262" s="10"/>
      <c r="E262" s="10"/>
      <c r="F262" s="10"/>
      <c r="G262" s="17"/>
      <c r="H262" s="10"/>
    </row>
    <row r="263" spans="1:9" ht="18.75" customHeight="1">
      <c r="A263" s="10"/>
      <c r="B263" s="7"/>
      <c r="C263" s="7"/>
      <c r="D263" s="10"/>
      <c r="E263" s="10"/>
      <c r="F263" s="10"/>
      <c r="G263" s="17"/>
      <c r="H263" s="10"/>
    </row>
    <row r="264" spans="1:9" ht="18.75" customHeight="1">
      <c r="A264" s="10"/>
      <c r="B264" s="7"/>
      <c r="C264" s="7"/>
      <c r="D264" s="10"/>
      <c r="E264" s="10"/>
      <c r="F264" s="10"/>
      <c r="G264" s="17"/>
      <c r="H264" s="10"/>
    </row>
    <row r="265" spans="1:9" ht="18.75" customHeight="1">
      <c r="A265" s="10"/>
      <c r="B265" s="7"/>
      <c r="C265" s="7"/>
      <c r="D265" s="10"/>
      <c r="E265" s="10"/>
      <c r="F265" s="10"/>
      <c r="G265" s="17"/>
      <c r="H265" s="10"/>
    </row>
    <row r="266" spans="1:9" ht="18.75" customHeight="1">
      <c r="A266" s="10"/>
      <c r="B266" s="7"/>
      <c r="C266" s="7"/>
      <c r="D266" s="10"/>
      <c r="E266" s="10"/>
      <c r="F266" s="10"/>
      <c r="G266" s="17"/>
      <c r="H266" s="10"/>
    </row>
    <row r="267" spans="1:9" ht="18.75" customHeight="1">
      <c r="A267" s="10"/>
      <c r="B267" s="7"/>
      <c r="C267" s="7"/>
      <c r="D267" s="10"/>
      <c r="E267" s="10"/>
      <c r="F267" s="10"/>
      <c r="G267" s="17"/>
      <c r="H267" s="10"/>
    </row>
    <row r="268" spans="1:9" ht="18.75" customHeight="1">
      <c r="A268" s="10"/>
      <c r="B268" s="7"/>
      <c r="C268" s="7"/>
      <c r="D268" s="10"/>
      <c r="E268" s="10"/>
      <c r="F268" s="10"/>
      <c r="G268" s="17"/>
      <c r="H268" s="10"/>
    </row>
    <row r="269" spans="1:9" ht="18.75" customHeight="1">
      <c r="A269" s="10"/>
      <c r="B269" s="7"/>
      <c r="C269" s="7"/>
      <c r="D269" s="10"/>
      <c r="E269" s="10"/>
      <c r="F269" s="10"/>
      <c r="G269" s="17"/>
      <c r="H269" s="10"/>
    </row>
    <row r="270" spans="1:9" ht="18.75" customHeight="1">
      <c r="A270" s="10"/>
      <c r="B270" s="7"/>
      <c r="C270" s="7"/>
      <c r="D270" s="10"/>
      <c r="E270" s="10"/>
      <c r="F270" s="10"/>
      <c r="G270" s="17"/>
      <c r="H270" s="10"/>
    </row>
    <row r="271" spans="1:9" ht="18.75" customHeight="1">
      <c r="A271" s="10"/>
      <c r="B271" s="7"/>
      <c r="C271" s="7"/>
      <c r="D271" s="10"/>
      <c r="E271" s="10"/>
      <c r="F271" s="10"/>
      <c r="G271" s="17"/>
      <c r="H271" s="10"/>
    </row>
    <row r="272" spans="1:9" ht="18.75" customHeight="1">
      <c r="A272" s="10"/>
      <c r="B272" s="7"/>
      <c r="C272" s="7"/>
      <c r="D272" s="10"/>
      <c r="E272" s="10"/>
      <c r="F272" s="10"/>
      <c r="G272" s="17"/>
      <c r="H272" s="10"/>
    </row>
    <row r="273" spans="1:8" ht="18.75" customHeight="1">
      <c r="A273" s="10"/>
      <c r="B273" s="7"/>
      <c r="C273" s="7"/>
      <c r="D273" s="10"/>
      <c r="E273" s="10"/>
      <c r="F273" s="10"/>
      <c r="G273" s="17"/>
      <c r="H273" s="10"/>
    </row>
    <row r="274" spans="1:8" ht="18.75" customHeight="1">
      <c r="A274" s="10"/>
      <c r="B274" s="7"/>
      <c r="C274" s="7"/>
      <c r="D274" s="10"/>
      <c r="E274" s="10"/>
      <c r="F274" s="10"/>
      <c r="G274" s="17"/>
      <c r="H274" s="10"/>
    </row>
    <row r="275" spans="1:8" ht="18.75" customHeight="1">
      <c r="A275" s="10"/>
      <c r="B275" s="7"/>
      <c r="C275" s="7"/>
      <c r="D275" s="10"/>
      <c r="E275" s="10"/>
      <c r="F275" s="10"/>
      <c r="G275" s="17"/>
      <c r="H275" s="10"/>
    </row>
    <row r="276" spans="1:8" ht="18.75" customHeight="1">
      <c r="A276" s="10"/>
      <c r="B276" s="7"/>
      <c r="C276" s="7"/>
      <c r="D276" s="10"/>
      <c r="E276" s="10"/>
      <c r="F276" s="10"/>
      <c r="G276" s="17"/>
      <c r="H276" s="10"/>
    </row>
    <row r="277" spans="1:8" ht="18.75" customHeight="1">
      <c r="A277" s="10"/>
      <c r="B277" s="7"/>
      <c r="C277" s="7"/>
      <c r="D277" s="10"/>
      <c r="E277" s="10"/>
      <c r="F277" s="10"/>
      <c r="G277" s="17"/>
      <c r="H277" s="10"/>
    </row>
    <row r="278" spans="1:8" ht="18.75" customHeight="1">
      <c r="A278" s="10"/>
      <c r="B278" s="7"/>
      <c r="C278" s="7"/>
      <c r="D278" s="10"/>
      <c r="E278" s="10"/>
      <c r="F278" s="10"/>
      <c r="G278" s="17"/>
      <c r="H278" s="10"/>
    </row>
    <row r="279" spans="1:8" ht="18.75" customHeight="1">
      <c r="A279" s="10"/>
      <c r="B279" s="7"/>
      <c r="C279" s="7"/>
      <c r="D279" s="10"/>
      <c r="E279" s="10"/>
      <c r="F279" s="10"/>
      <c r="G279" s="17"/>
      <c r="H279" s="10"/>
    </row>
    <row r="280" spans="1:8" ht="18.75" customHeight="1">
      <c r="A280" s="10"/>
      <c r="B280" s="7"/>
      <c r="C280" s="7"/>
      <c r="D280" s="10"/>
      <c r="E280" s="10"/>
      <c r="F280" s="10"/>
      <c r="G280" s="17"/>
      <c r="H280" s="10"/>
    </row>
    <row r="281" spans="1:8" ht="18.75" customHeight="1">
      <c r="A281" s="10"/>
      <c r="B281" s="7"/>
      <c r="C281" s="7"/>
      <c r="D281" s="10"/>
      <c r="E281" s="10"/>
      <c r="F281" s="10"/>
      <c r="G281" s="17"/>
      <c r="H281" s="10"/>
    </row>
    <row r="282" spans="1:8" ht="18.75" customHeight="1">
      <c r="A282" s="10"/>
      <c r="B282" s="7"/>
      <c r="C282" s="7"/>
      <c r="D282" s="10"/>
      <c r="E282" s="10"/>
      <c r="F282" s="10"/>
      <c r="G282" s="17"/>
      <c r="H282" s="10"/>
    </row>
    <row r="283" spans="1:8" ht="18.75" customHeight="1">
      <c r="A283" s="10"/>
      <c r="B283" s="7"/>
      <c r="C283" s="7"/>
      <c r="D283" s="10"/>
      <c r="E283" s="10"/>
      <c r="F283" s="10"/>
      <c r="G283" s="17"/>
      <c r="H283" s="10"/>
    </row>
    <row r="284" spans="1:8" ht="18.75" customHeight="1">
      <c r="A284" s="10"/>
      <c r="B284" s="7"/>
      <c r="C284" s="7"/>
      <c r="D284" s="10"/>
      <c r="E284" s="10"/>
      <c r="F284" s="10"/>
      <c r="G284" s="17"/>
      <c r="H284" s="10"/>
    </row>
    <row r="285" spans="1:8" ht="18.75" customHeight="1">
      <c r="A285" s="10"/>
      <c r="B285" s="7"/>
      <c r="C285" s="7"/>
      <c r="D285" s="10"/>
      <c r="E285" s="10"/>
      <c r="F285" s="10"/>
      <c r="G285" s="17"/>
      <c r="H285" s="10"/>
    </row>
    <row r="286" spans="1:8" ht="18.75" customHeight="1">
      <c r="A286" s="10"/>
      <c r="B286" s="7"/>
      <c r="C286" s="7"/>
      <c r="D286" s="10"/>
      <c r="E286" s="10"/>
      <c r="F286" s="10"/>
      <c r="G286" s="17"/>
      <c r="H286" s="10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1AA2F-ED82-497D-A0D7-BA51300AC6DC}">
  <dimension ref="A1:J92"/>
  <sheetViews>
    <sheetView workbookViewId="0">
      <pane ySplit="1" topLeftCell="A32" activePane="bottomLeft" state="frozen"/>
      <selection pane="bottomLeft" activeCell="C106" sqref="C106"/>
    </sheetView>
  </sheetViews>
  <sheetFormatPr defaultRowHeight="12"/>
  <cols>
    <col min="1" max="1" width="21.5703125" bestFit="1" customWidth="1"/>
    <col min="2" max="2" width="22.140625" bestFit="1" customWidth="1"/>
    <col min="3" max="5" width="19.28515625" customWidth="1"/>
    <col min="6" max="7" width="23.28515625" customWidth="1"/>
    <col min="8" max="8" width="26.140625" customWidth="1"/>
  </cols>
  <sheetData>
    <row r="1" spans="1:8">
      <c r="A1" s="11" t="s">
        <v>96</v>
      </c>
      <c r="B1" s="12" t="s">
        <v>97</v>
      </c>
      <c r="C1" s="12" t="s">
        <v>425</v>
      </c>
      <c r="D1" s="12" t="s">
        <v>426</v>
      </c>
      <c r="E1" s="12" t="s">
        <v>427</v>
      </c>
      <c r="F1" s="12" t="s">
        <v>428</v>
      </c>
      <c r="G1" s="12" t="s">
        <v>429</v>
      </c>
      <c r="H1" s="13" t="s">
        <v>430</v>
      </c>
    </row>
    <row r="2" spans="1:8">
      <c r="A2" t="s">
        <v>431</v>
      </c>
      <c r="B2" s="9" t="str">
        <f t="shared" ref="B2:B33" si="0">"("&amp;A2&amp;")"</f>
        <v>(AS-CHGR-PREM)</v>
      </c>
      <c r="C2" t="s">
        <v>432</v>
      </c>
      <c r="D2" t="s">
        <v>433</v>
      </c>
      <c r="E2" s="15">
        <v>450</v>
      </c>
      <c r="F2" s="15">
        <v>0</v>
      </c>
      <c r="G2" s="15">
        <f>Table2[[#This Row],[remoteListAmount]]-Table2[[#This Row],[remoteDiscountAmount]]</f>
        <v>450</v>
      </c>
      <c r="H2" t="s">
        <v>434</v>
      </c>
    </row>
    <row r="3" spans="1:8">
      <c r="A3" t="s">
        <v>435</v>
      </c>
      <c r="B3" s="9" t="str">
        <f t="shared" si="0"/>
        <v>(AS-REM-MYPALMICRO)</v>
      </c>
      <c r="C3" t="s">
        <v>436</v>
      </c>
      <c r="D3" t="s">
        <v>436</v>
      </c>
      <c r="E3" s="15">
        <v>225</v>
      </c>
      <c r="F3" s="15">
        <v>0</v>
      </c>
      <c r="G3" s="15">
        <f>Table2[[#This Row],[remoteListAmount]]-Table2[[#This Row],[remoteDiscountAmount]]</f>
        <v>225</v>
      </c>
      <c r="H3" t="s">
        <v>434</v>
      </c>
    </row>
    <row r="4" spans="1:8">
      <c r="A4" t="s">
        <v>437</v>
      </c>
      <c r="B4" s="9" t="str">
        <f t="shared" si="0"/>
        <v>(AS-REM-MYPALPRO)</v>
      </c>
      <c r="C4" t="s">
        <v>438</v>
      </c>
      <c r="D4" t="s">
        <v>438</v>
      </c>
      <c r="E4" s="15">
        <v>315</v>
      </c>
      <c r="F4" s="15">
        <v>0</v>
      </c>
      <c r="G4" s="15">
        <f>Table2[[#This Row],[remoteListAmount]]-Table2[[#This Row],[remoteDiscountAmount]]</f>
        <v>315</v>
      </c>
      <c r="H4" t="s">
        <v>434</v>
      </c>
    </row>
    <row r="5" spans="1:8">
      <c r="A5" t="s">
        <v>439</v>
      </c>
      <c r="B5" s="9" t="str">
        <f t="shared" si="0"/>
        <v>(AS-REM-TVLINK2)</v>
      </c>
      <c r="C5" t="s">
        <v>440</v>
      </c>
      <c r="D5" t="s">
        <v>440</v>
      </c>
      <c r="E5" s="15">
        <v>340</v>
      </c>
      <c r="F5" s="15">
        <v>0</v>
      </c>
      <c r="G5" s="15">
        <f>Table2[[#This Row],[remoteListAmount]]-Table2[[#This Row],[remoteDiscountAmount]]</f>
        <v>340</v>
      </c>
      <c r="H5" t="s">
        <v>434</v>
      </c>
    </row>
    <row r="6" spans="1:8">
      <c r="A6" t="s">
        <v>441</v>
      </c>
      <c r="B6" s="9" t="str">
        <f t="shared" si="0"/>
        <v>(CAM-CHGR-DT)</v>
      </c>
      <c r="C6" t="s">
        <v>432</v>
      </c>
      <c r="D6" t="s">
        <v>442</v>
      </c>
      <c r="E6" s="15">
        <v>200</v>
      </c>
      <c r="F6" s="15">
        <v>0</v>
      </c>
      <c r="G6" s="15">
        <f>Table2[[#This Row],[remoteListAmount]]-Table2[[#This Row],[remoteDiscountAmount]]</f>
        <v>200</v>
      </c>
      <c r="H6" t="s">
        <v>64</v>
      </c>
    </row>
    <row r="7" spans="1:8">
      <c r="A7" t="s">
        <v>443</v>
      </c>
      <c r="B7" s="9" t="str">
        <f t="shared" si="0"/>
        <v>(CAM-CHGR-STD)</v>
      </c>
      <c r="C7" t="s">
        <v>432</v>
      </c>
      <c r="D7" t="s">
        <v>444</v>
      </c>
      <c r="E7" s="15">
        <v>325</v>
      </c>
      <c r="F7" s="15">
        <v>0</v>
      </c>
      <c r="G7" s="15">
        <f>Table2[[#This Row],[remoteListAmount]]-Table2[[#This Row],[remoteDiscountAmount]]</f>
        <v>325</v>
      </c>
      <c r="H7" t="s">
        <v>64</v>
      </c>
    </row>
    <row r="8" spans="1:8">
      <c r="A8" t="s">
        <v>445</v>
      </c>
      <c r="B8" s="9" t="str">
        <f t="shared" si="0"/>
        <v>(ABC-CHGR-DT)</v>
      </c>
      <c r="C8" t="s">
        <v>432</v>
      </c>
      <c r="D8" t="s">
        <v>442</v>
      </c>
      <c r="E8" s="15">
        <v>225</v>
      </c>
      <c r="F8" s="15">
        <v>0</v>
      </c>
      <c r="G8" s="15">
        <f>Table2[[#This Row],[remoteListAmount]]-Table2[[#This Row],[remoteDiscountAmount]]</f>
        <v>225</v>
      </c>
      <c r="H8" t="s">
        <v>166</v>
      </c>
    </row>
    <row r="9" spans="1:8">
      <c r="A9" t="s">
        <v>446</v>
      </c>
      <c r="B9" s="9" t="str">
        <f t="shared" si="0"/>
        <v>(ABC-CHGR-STD)</v>
      </c>
      <c r="C9" t="s">
        <v>432</v>
      </c>
      <c r="D9" t="s">
        <v>444</v>
      </c>
      <c r="E9" s="15">
        <v>325</v>
      </c>
      <c r="F9" s="15">
        <v>0</v>
      </c>
      <c r="G9" s="15">
        <f>Table2[[#This Row],[remoteListAmount]]-Table2[[#This Row],[remoteDiscountAmount]]</f>
        <v>325</v>
      </c>
      <c r="H9" t="s">
        <v>166</v>
      </c>
    </row>
    <row r="10" spans="1:8">
      <c r="A10" t="s">
        <v>447</v>
      </c>
      <c r="B10" s="9" t="str">
        <f t="shared" si="0"/>
        <v>(ABC-CHGR-PREM)</v>
      </c>
      <c r="C10" t="s">
        <v>432</v>
      </c>
      <c r="D10" t="s">
        <v>433</v>
      </c>
      <c r="E10" s="15">
        <v>450</v>
      </c>
      <c r="F10" s="15">
        <v>0</v>
      </c>
      <c r="G10" s="15">
        <f>Table2[[#This Row],[remoteListAmount]]-Table2[[#This Row],[remoteDiscountAmount]]</f>
        <v>450</v>
      </c>
      <c r="H10" t="s">
        <v>166</v>
      </c>
    </row>
    <row r="11" spans="1:8">
      <c r="A11" t="s">
        <v>448</v>
      </c>
      <c r="B11" s="9" t="str">
        <f t="shared" si="0"/>
        <v>(AND-CHGR-DT)</v>
      </c>
      <c r="C11" t="s">
        <v>432</v>
      </c>
      <c r="D11" t="s">
        <v>442</v>
      </c>
      <c r="E11" s="15">
        <v>225</v>
      </c>
      <c r="F11" s="15">
        <v>0</v>
      </c>
      <c r="G11" s="15">
        <f>Table2[[#This Row],[remoteListAmount]]-Table2[[#This Row],[remoteDiscountAmount]]</f>
        <v>225</v>
      </c>
      <c r="H11" t="s">
        <v>449</v>
      </c>
    </row>
    <row r="12" spans="1:8">
      <c r="A12" t="s">
        <v>450</v>
      </c>
      <c r="B12" s="9" t="str">
        <f t="shared" si="0"/>
        <v>(AND-CHGR-STD)</v>
      </c>
      <c r="C12" t="s">
        <v>432</v>
      </c>
      <c r="D12" t="s">
        <v>444</v>
      </c>
      <c r="E12" s="15">
        <v>325</v>
      </c>
      <c r="F12" s="15">
        <v>0</v>
      </c>
      <c r="G12" s="15">
        <f>Table2[[#This Row],[remoteListAmount]]-Table2[[#This Row],[remoteDiscountAmount]]</f>
        <v>325</v>
      </c>
      <c r="H12" t="s">
        <v>449</v>
      </c>
    </row>
    <row r="13" spans="1:8">
      <c r="A13" t="s">
        <v>451</v>
      </c>
      <c r="B13" s="9" t="str">
        <f t="shared" si="0"/>
        <v>(AND-CHGR-PREM)</v>
      </c>
      <c r="C13" t="s">
        <v>432</v>
      </c>
      <c r="D13" t="s">
        <v>433</v>
      </c>
      <c r="E13" s="15">
        <v>450</v>
      </c>
      <c r="F13" s="15">
        <v>0</v>
      </c>
      <c r="G13" s="15">
        <f>Table2[[#This Row],[remoteListAmount]]-Table2[[#This Row],[remoteDiscountAmount]]</f>
        <v>450</v>
      </c>
      <c r="H13" t="s">
        <v>449</v>
      </c>
    </row>
    <row r="14" spans="1:8">
      <c r="A14" t="s">
        <v>452</v>
      </c>
      <c r="B14" s="9" t="str">
        <f t="shared" si="0"/>
        <v>(BCF-CHGR-DT)</v>
      </c>
      <c r="C14" t="s">
        <v>432</v>
      </c>
      <c r="D14" t="s">
        <v>442</v>
      </c>
      <c r="E14" s="15">
        <v>225</v>
      </c>
      <c r="F14" s="15">
        <v>0</v>
      </c>
      <c r="G14" s="15">
        <f>Table2[[#This Row],[remoteListAmount]]-Table2[[#This Row],[remoteDiscountAmount]]</f>
        <v>225</v>
      </c>
      <c r="H14" t="s">
        <v>453</v>
      </c>
    </row>
    <row r="15" spans="1:8">
      <c r="A15" t="s">
        <v>454</v>
      </c>
      <c r="B15" s="9" t="str">
        <f t="shared" si="0"/>
        <v>(BCF-CHGR-STD)</v>
      </c>
      <c r="C15" t="s">
        <v>432</v>
      </c>
      <c r="D15" t="s">
        <v>444</v>
      </c>
      <c r="E15" s="15">
        <v>325</v>
      </c>
      <c r="F15" s="15">
        <v>0</v>
      </c>
      <c r="G15" s="15">
        <f>Table2[[#This Row],[remoteListAmount]]-Table2[[#This Row],[remoteDiscountAmount]]</f>
        <v>325</v>
      </c>
      <c r="H15" t="s">
        <v>453</v>
      </c>
    </row>
    <row r="16" spans="1:8">
      <c r="A16" t="s">
        <v>455</v>
      </c>
      <c r="B16" s="9" t="str">
        <f t="shared" si="0"/>
        <v>(BCF-CHGR-PREM)</v>
      </c>
      <c r="C16" t="s">
        <v>432</v>
      </c>
      <c r="D16" t="s">
        <v>433</v>
      </c>
      <c r="E16" s="15">
        <v>450</v>
      </c>
      <c r="F16" s="15">
        <v>0</v>
      </c>
      <c r="G16" s="15">
        <f>Table2[[#This Row],[remoteListAmount]]-Table2[[#This Row],[remoteDiscountAmount]]</f>
        <v>450</v>
      </c>
      <c r="H16" t="s">
        <v>453</v>
      </c>
    </row>
    <row r="17" spans="1:8">
      <c r="A17" t="s">
        <v>456</v>
      </c>
      <c r="B17" s="9" t="str">
        <f t="shared" si="0"/>
        <v>(B36-CHGR-DT)</v>
      </c>
      <c r="C17" t="s">
        <v>432</v>
      </c>
      <c r="D17" t="s">
        <v>442</v>
      </c>
      <c r="E17" s="15">
        <v>225</v>
      </c>
      <c r="F17" s="15">
        <v>0</v>
      </c>
      <c r="G17" s="15">
        <f>Table2[[#This Row],[remoteListAmount]]-Table2[[#This Row],[remoteDiscountAmount]]</f>
        <v>225</v>
      </c>
      <c r="H17" t="s">
        <v>457</v>
      </c>
    </row>
    <row r="18" spans="1:8">
      <c r="A18" t="s">
        <v>458</v>
      </c>
      <c r="B18" s="9" t="str">
        <f t="shared" si="0"/>
        <v>(B36-CHGR-STD)</v>
      </c>
      <c r="C18" t="s">
        <v>432</v>
      </c>
      <c r="D18" t="s">
        <v>444</v>
      </c>
      <c r="E18" s="15">
        <v>325</v>
      </c>
      <c r="F18" s="15">
        <v>0</v>
      </c>
      <c r="G18" s="15">
        <f>Table2[[#This Row],[remoteListAmount]]-Table2[[#This Row],[remoteDiscountAmount]]</f>
        <v>325</v>
      </c>
      <c r="H18" t="s">
        <v>457</v>
      </c>
    </row>
    <row r="19" spans="1:8">
      <c r="A19" t="s">
        <v>459</v>
      </c>
      <c r="B19" s="9" t="str">
        <f t="shared" si="0"/>
        <v>(B36-CHGR-PREM)</v>
      </c>
      <c r="C19" t="s">
        <v>432</v>
      </c>
      <c r="D19" t="s">
        <v>433</v>
      </c>
      <c r="E19" s="15">
        <v>450</v>
      </c>
      <c r="F19" s="15">
        <v>0</v>
      </c>
      <c r="G19" s="15">
        <f>Table2[[#This Row],[remoteListAmount]]-Table2[[#This Row],[remoteDiscountAmount]]</f>
        <v>450</v>
      </c>
      <c r="H19" t="s">
        <v>457</v>
      </c>
    </row>
    <row r="20" spans="1:8">
      <c r="A20" t="s">
        <v>460</v>
      </c>
      <c r="B20" s="9" t="str">
        <f t="shared" si="0"/>
        <v>(ELU-CHGR-DT)</v>
      </c>
      <c r="C20" t="s">
        <v>432</v>
      </c>
      <c r="D20" t="s">
        <v>442</v>
      </c>
      <c r="E20" s="15">
        <v>225</v>
      </c>
      <c r="F20" s="15">
        <v>0</v>
      </c>
      <c r="G20" s="15">
        <f>Table2[[#This Row],[remoteListAmount]]-Table2[[#This Row],[remoteDiscountAmount]]</f>
        <v>225</v>
      </c>
      <c r="H20" t="s">
        <v>65</v>
      </c>
    </row>
    <row r="21" spans="1:8">
      <c r="A21" t="s">
        <v>461</v>
      </c>
      <c r="B21" s="9" t="str">
        <f t="shared" si="0"/>
        <v>(ELU-CHGR-STD)</v>
      </c>
      <c r="C21" t="s">
        <v>432</v>
      </c>
      <c r="D21" t="s">
        <v>444</v>
      </c>
      <c r="E21" s="15">
        <v>325</v>
      </c>
      <c r="F21" s="15">
        <v>0</v>
      </c>
      <c r="G21" s="15">
        <f>Table2[[#This Row],[remoteListAmount]]-Table2[[#This Row],[remoteDiscountAmount]]</f>
        <v>325</v>
      </c>
      <c r="H21" t="s">
        <v>65</v>
      </c>
    </row>
    <row r="22" spans="1:8">
      <c r="A22" t="s">
        <v>462</v>
      </c>
      <c r="B22" s="9" t="str">
        <f t="shared" si="0"/>
        <v>(ELU-CHGR-PREM)</v>
      </c>
      <c r="C22" t="s">
        <v>432</v>
      </c>
      <c r="D22" t="s">
        <v>433</v>
      </c>
      <c r="E22" s="15">
        <v>450</v>
      </c>
      <c r="F22" s="15">
        <v>0</v>
      </c>
      <c r="G22" s="15">
        <f>Table2[[#This Row],[remoteListAmount]]-Table2[[#This Row],[remoteDiscountAmount]]</f>
        <v>450</v>
      </c>
      <c r="H22" t="s">
        <v>65</v>
      </c>
    </row>
    <row r="23" spans="1:8">
      <c r="A23" t="s">
        <v>463</v>
      </c>
      <c r="B23" s="9" t="str">
        <f t="shared" si="0"/>
        <v>(FAF-CHGR-DT)</v>
      </c>
      <c r="C23" t="s">
        <v>432</v>
      </c>
      <c r="D23" t="s">
        <v>442</v>
      </c>
      <c r="E23" s="15">
        <v>225</v>
      </c>
      <c r="F23" s="15">
        <v>0</v>
      </c>
      <c r="G23" s="15">
        <f>Table2[[#This Row],[remoteListAmount]]-Table2[[#This Row],[remoteDiscountAmount]]</f>
        <v>225</v>
      </c>
      <c r="H23" t="s">
        <v>75</v>
      </c>
    </row>
    <row r="24" spans="1:8">
      <c r="A24" t="s">
        <v>464</v>
      </c>
      <c r="B24" s="9" t="str">
        <f t="shared" si="0"/>
        <v>(FAF-CHGR-STD)</v>
      </c>
      <c r="C24" t="s">
        <v>432</v>
      </c>
      <c r="D24" t="s">
        <v>444</v>
      </c>
      <c r="E24" s="15">
        <v>325</v>
      </c>
      <c r="F24" s="15">
        <v>0</v>
      </c>
      <c r="G24" s="15">
        <f>Table2[[#This Row],[remoteListAmount]]-Table2[[#This Row],[remoteDiscountAmount]]</f>
        <v>325</v>
      </c>
      <c r="H24" t="s">
        <v>75</v>
      </c>
    </row>
    <row r="25" spans="1:8">
      <c r="A25" t="s">
        <v>465</v>
      </c>
      <c r="B25" s="9" t="str">
        <f t="shared" si="0"/>
        <v>(FAF-CHGR-PREM)</v>
      </c>
      <c r="C25" t="s">
        <v>432</v>
      </c>
      <c r="D25" t="s">
        <v>433</v>
      </c>
      <c r="E25" s="15">
        <v>450</v>
      </c>
      <c r="F25" s="15">
        <v>0</v>
      </c>
      <c r="G25" s="15">
        <f>Table2[[#This Row],[remoteListAmount]]-Table2[[#This Row],[remoteDiscountAmount]]</f>
        <v>450</v>
      </c>
      <c r="H25" t="s">
        <v>75</v>
      </c>
    </row>
    <row r="26" spans="1:8">
      <c r="A26" t="s">
        <v>466</v>
      </c>
      <c r="B26" s="9" t="str">
        <f t="shared" si="0"/>
        <v>(GB-REM-PERFCLEAN)</v>
      </c>
      <c r="C26" t="s">
        <v>467</v>
      </c>
      <c r="D26" t="s">
        <v>467</v>
      </c>
      <c r="E26" s="15">
        <v>175</v>
      </c>
      <c r="F26" s="15">
        <v>25</v>
      </c>
      <c r="G26" s="15">
        <f>Table2[[#This Row],[remoteListAmount]]-Table2[[#This Row],[remoteDiscountAmount]]</f>
        <v>150</v>
      </c>
      <c r="H26" t="s">
        <v>468</v>
      </c>
    </row>
    <row r="27" spans="1:8">
      <c r="A27" t="s">
        <v>469</v>
      </c>
      <c r="B27" s="9" t="str">
        <f t="shared" si="0"/>
        <v>(GB-REM-TVSTRPL)</v>
      </c>
      <c r="C27" t="s">
        <v>470</v>
      </c>
      <c r="D27" t="s">
        <v>470</v>
      </c>
      <c r="E27" s="15">
        <v>450</v>
      </c>
      <c r="F27" s="15">
        <v>50</v>
      </c>
      <c r="G27" s="15">
        <f>Table2[[#This Row],[remoteListAmount]]-Table2[[#This Row],[remoteDiscountAmount]]</f>
        <v>400</v>
      </c>
      <c r="H27" t="s">
        <v>468</v>
      </c>
    </row>
    <row r="28" spans="1:8">
      <c r="A28" t="s">
        <v>471</v>
      </c>
      <c r="B28" s="9" t="str">
        <f t="shared" si="0"/>
        <v>(CHA-CHGR-DT)</v>
      </c>
      <c r="C28" t="s">
        <v>432</v>
      </c>
      <c r="D28" t="s">
        <v>442</v>
      </c>
      <c r="E28" s="15">
        <v>225</v>
      </c>
      <c r="F28" s="15">
        <v>0</v>
      </c>
      <c r="G28" s="15">
        <f>Table2[[#This Row],[remoteListAmount]]-Table2[[#This Row],[remoteDiscountAmount]]</f>
        <v>225</v>
      </c>
      <c r="H28" t="s">
        <v>472</v>
      </c>
    </row>
    <row r="29" spans="1:8">
      <c r="A29" t="s">
        <v>473</v>
      </c>
      <c r="B29" s="9" t="str">
        <f t="shared" si="0"/>
        <v>(CHA-CHGR-STD)</v>
      </c>
      <c r="C29" t="s">
        <v>432</v>
      </c>
      <c r="D29" t="s">
        <v>444</v>
      </c>
      <c r="E29" s="15">
        <v>325</v>
      </c>
      <c r="F29" s="15">
        <v>0</v>
      </c>
      <c r="G29" s="15">
        <f>Table2[[#This Row],[remoteListAmount]]-Table2[[#This Row],[remoteDiscountAmount]]</f>
        <v>325</v>
      </c>
      <c r="H29" t="s">
        <v>472</v>
      </c>
    </row>
    <row r="30" spans="1:8">
      <c r="A30" t="s">
        <v>474</v>
      </c>
      <c r="B30" s="9" t="str">
        <f t="shared" si="0"/>
        <v>(CHS-CHGR-DT)</v>
      </c>
      <c r="C30" t="s">
        <v>432</v>
      </c>
      <c r="D30" t="s">
        <v>442</v>
      </c>
      <c r="E30" s="15">
        <v>225</v>
      </c>
      <c r="F30" s="15">
        <v>0</v>
      </c>
      <c r="G30" s="15">
        <f>Table2[[#This Row],[remoteListAmount]]-Table2[[#This Row],[remoteDiscountAmount]]</f>
        <v>225</v>
      </c>
      <c r="H30" t="s">
        <v>77</v>
      </c>
    </row>
    <row r="31" spans="1:8">
      <c r="A31" t="s">
        <v>475</v>
      </c>
      <c r="B31" s="9" t="str">
        <f t="shared" si="0"/>
        <v>(CHS-CHGR-STD)</v>
      </c>
      <c r="C31" t="s">
        <v>432</v>
      </c>
      <c r="D31" t="s">
        <v>444</v>
      </c>
      <c r="E31" s="15">
        <v>325</v>
      </c>
      <c r="F31" s="15">
        <v>0</v>
      </c>
      <c r="G31" s="15">
        <f>Table2[[#This Row],[remoteListAmount]]-Table2[[#This Row],[remoteDiscountAmount]]</f>
        <v>325</v>
      </c>
      <c r="H31" t="s">
        <v>77</v>
      </c>
    </row>
    <row r="32" spans="1:8">
      <c r="A32" t="s">
        <v>476</v>
      </c>
      <c r="B32" s="9" t="str">
        <f t="shared" si="0"/>
        <v>(CHU-CHGR-DT)</v>
      </c>
      <c r="C32" t="s">
        <v>432</v>
      </c>
      <c r="D32" t="s">
        <v>442</v>
      </c>
      <c r="E32" s="15">
        <v>225</v>
      </c>
      <c r="F32" s="15">
        <v>0</v>
      </c>
      <c r="G32" s="15">
        <f>Table2[[#This Row],[remoteListAmount]]-Table2[[#This Row],[remoteDiscountAmount]]</f>
        <v>225</v>
      </c>
      <c r="H32" t="s">
        <v>78</v>
      </c>
    </row>
    <row r="33" spans="1:8">
      <c r="A33" t="s">
        <v>477</v>
      </c>
      <c r="B33" s="9" t="str">
        <f t="shared" si="0"/>
        <v>(CHU-CHGR-STD)</v>
      </c>
      <c r="C33" t="s">
        <v>432</v>
      </c>
      <c r="D33" t="s">
        <v>444</v>
      </c>
      <c r="E33" s="15">
        <v>325</v>
      </c>
      <c r="F33" s="15">
        <v>0</v>
      </c>
      <c r="G33" s="15">
        <f>Table2[[#This Row],[remoteListAmount]]-Table2[[#This Row],[remoteDiscountAmount]]</f>
        <v>325</v>
      </c>
      <c r="H33" t="s">
        <v>78</v>
      </c>
    </row>
    <row r="34" spans="1:8">
      <c r="A34" t="s">
        <v>478</v>
      </c>
      <c r="B34" s="9" t="str">
        <f t="shared" ref="B34:B65" si="1">"("&amp;A34&amp;")"</f>
        <v>(HUM-CHGR-DT)</v>
      </c>
      <c r="C34" t="s">
        <v>432</v>
      </c>
      <c r="D34" t="s">
        <v>442</v>
      </c>
      <c r="E34" s="15">
        <v>225</v>
      </c>
      <c r="F34" s="15">
        <v>0</v>
      </c>
      <c r="G34" s="15">
        <f>Table2[[#This Row],[remoteListAmount]]-Table2[[#This Row],[remoteDiscountAmount]]</f>
        <v>225</v>
      </c>
      <c r="H34" t="s">
        <v>79</v>
      </c>
    </row>
    <row r="35" spans="1:8">
      <c r="A35" t="s">
        <v>479</v>
      </c>
      <c r="B35" s="9" t="str">
        <f t="shared" si="1"/>
        <v>(HUM-CHGR-STD)</v>
      </c>
      <c r="C35" t="s">
        <v>432</v>
      </c>
      <c r="D35" t="s">
        <v>444</v>
      </c>
      <c r="E35" s="15">
        <v>325</v>
      </c>
      <c r="F35" s="15">
        <v>0</v>
      </c>
      <c r="G35" s="15">
        <f>Table2[[#This Row],[remoteListAmount]]-Table2[[#This Row],[remoteDiscountAmount]]</f>
        <v>325</v>
      </c>
      <c r="H35" t="s">
        <v>79</v>
      </c>
    </row>
    <row r="36" spans="1:8">
      <c r="A36" t="s">
        <v>480</v>
      </c>
      <c r="B36" s="9" t="str">
        <f t="shared" si="1"/>
        <v>(HUM-CHGR-PREM)</v>
      </c>
      <c r="C36" t="s">
        <v>432</v>
      </c>
      <c r="D36" t="s">
        <v>433</v>
      </c>
      <c r="E36" s="15">
        <v>450</v>
      </c>
      <c r="F36" s="15">
        <v>0</v>
      </c>
      <c r="G36" s="15">
        <f>Table2[[#This Row],[remoteListAmount]]-Table2[[#This Row],[remoteDiscountAmount]]</f>
        <v>450</v>
      </c>
      <c r="H36" t="s">
        <v>79</v>
      </c>
    </row>
    <row r="37" spans="1:8">
      <c r="A37" t="s">
        <v>481</v>
      </c>
      <c r="B37" s="9" t="str">
        <f t="shared" si="1"/>
        <v>(CMP-CHGR-DT)</v>
      </c>
      <c r="C37" t="s">
        <v>432</v>
      </c>
      <c r="D37" t="s">
        <v>442</v>
      </c>
      <c r="E37" s="15">
        <v>225</v>
      </c>
      <c r="F37" s="15">
        <v>0</v>
      </c>
      <c r="G37" s="15">
        <f>Table2[[#This Row],[remoteListAmount]]-Table2[[#This Row],[remoteDiscountAmount]]</f>
        <v>225</v>
      </c>
      <c r="H37" t="s">
        <v>81</v>
      </c>
    </row>
    <row r="38" spans="1:8">
      <c r="A38" t="s">
        <v>482</v>
      </c>
      <c r="B38" s="9" t="str">
        <f t="shared" si="1"/>
        <v>(CMP-CHGR-STD)</v>
      </c>
      <c r="C38" t="s">
        <v>432</v>
      </c>
      <c r="D38" t="s">
        <v>444</v>
      </c>
      <c r="E38" s="15">
        <v>325</v>
      </c>
      <c r="F38" s="15">
        <v>0</v>
      </c>
      <c r="G38" s="15">
        <f>Table2[[#This Row],[remoteListAmount]]-Table2[[#This Row],[remoteDiscountAmount]]</f>
        <v>325</v>
      </c>
      <c r="H38" t="s">
        <v>81</v>
      </c>
    </row>
    <row r="39" spans="1:8">
      <c r="A39" t="s">
        <v>483</v>
      </c>
      <c r="B39" s="9" t="str">
        <f t="shared" si="1"/>
        <v>(MLA-CHGR-DT)</v>
      </c>
      <c r="C39" t="s">
        <v>432</v>
      </c>
      <c r="D39" t="s">
        <v>442</v>
      </c>
      <c r="E39" s="15">
        <v>225</v>
      </c>
      <c r="F39" s="15">
        <v>0</v>
      </c>
      <c r="G39" s="15">
        <f>Table2[[#This Row],[remoteListAmount]]-Table2[[#This Row],[remoteDiscountAmount]]</f>
        <v>225</v>
      </c>
      <c r="H39" t="s">
        <v>307</v>
      </c>
    </row>
    <row r="40" spans="1:8">
      <c r="A40" t="s">
        <v>484</v>
      </c>
      <c r="B40" s="9" t="str">
        <f t="shared" si="1"/>
        <v>(CNH-CHGR-DT)</v>
      </c>
      <c r="C40" t="s">
        <v>432</v>
      </c>
      <c r="D40" t="s">
        <v>442</v>
      </c>
      <c r="E40" s="15">
        <v>225</v>
      </c>
      <c r="F40" s="15">
        <v>0</v>
      </c>
      <c r="G40" s="15">
        <f>Table2[[#This Row],[remoteListAmount]]-Table2[[#This Row],[remoteDiscountAmount]]</f>
        <v>225</v>
      </c>
      <c r="H40" t="s">
        <v>82</v>
      </c>
    </row>
    <row r="41" spans="1:8">
      <c r="A41" t="s">
        <v>485</v>
      </c>
      <c r="B41" s="9" t="str">
        <f t="shared" si="1"/>
        <v>(CNH-CHGR-STD)</v>
      </c>
      <c r="C41" t="s">
        <v>432</v>
      </c>
      <c r="D41" t="s">
        <v>444</v>
      </c>
      <c r="E41" s="15">
        <v>325</v>
      </c>
      <c r="F41" s="15">
        <v>0</v>
      </c>
      <c r="G41" s="15">
        <f>Table2[[#This Row],[remoteListAmount]]-Table2[[#This Row],[remoteDiscountAmount]]</f>
        <v>325</v>
      </c>
      <c r="H41" t="s">
        <v>82</v>
      </c>
    </row>
    <row r="42" spans="1:8">
      <c r="A42" t="s">
        <v>486</v>
      </c>
      <c r="B42" s="9" t="str">
        <f t="shared" si="1"/>
        <v>(OHGB-REM-PERFCLEAN)</v>
      </c>
      <c r="C42" t="s">
        <v>467</v>
      </c>
      <c r="D42" t="s">
        <v>467</v>
      </c>
      <c r="E42" s="15">
        <v>175</v>
      </c>
      <c r="F42" s="15">
        <v>50</v>
      </c>
      <c r="G42" s="15">
        <f>Table2[[#This Row],[remoteListAmount]]-Table2[[#This Row],[remoteDiscountAmount]]</f>
        <v>125</v>
      </c>
      <c r="H42" t="s">
        <v>487</v>
      </c>
    </row>
    <row r="43" spans="1:8">
      <c r="A43" t="s">
        <v>488</v>
      </c>
      <c r="B43" s="9" t="str">
        <f t="shared" si="1"/>
        <v>(OHGB-REM-MULTIMIC)</v>
      </c>
      <c r="C43" t="s">
        <v>489</v>
      </c>
      <c r="D43" t="s">
        <v>490</v>
      </c>
      <c r="E43" s="15">
        <v>450</v>
      </c>
      <c r="F43" s="15">
        <v>80</v>
      </c>
      <c r="G43" s="15">
        <f>Table2[[#This Row],[remoteListAmount]]-Table2[[#This Row],[remoteDiscountAmount]]</f>
        <v>370</v>
      </c>
      <c r="H43" t="s">
        <v>487</v>
      </c>
    </row>
    <row r="44" spans="1:8">
      <c r="A44" t="s">
        <v>491</v>
      </c>
      <c r="B44" s="9" t="str">
        <f t="shared" si="1"/>
        <v>(OHPB-REM-PERFCLEAN)</v>
      </c>
      <c r="C44" t="s">
        <v>467</v>
      </c>
      <c r="D44" t="s">
        <v>467</v>
      </c>
      <c r="E44" s="15">
        <v>175</v>
      </c>
      <c r="F44" s="15">
        <v>55</v>
      </c>
      <c r="G44" s="15">
        <f>Table2[[#This Row],[remoteListAmount]]-Table2[[#This Row],[remoteDiscountAmount]]</f>
        <v>120</v>
      </c>
      <c r="H44" t="s">
        <v>492</v>
      </c>
    </row>
    <row r="45" spans="1:8">
      <c r="A45" t="s">
        <v>493</v>
      </c>
      <c r="B45" s="9" t="str">
        <f t="shared" si="1"/>
        <v>(OHPB-REM-MULTIMIC)</v>
      </c>
      <c r="C45" t="s">
        <v>489</v>
      </c>
      <c r="D45" t="s">
        <v>490</v>
      </c>
      <c r="E45" s="15">
        <v>450</v>
      </c>
      <c r="F45" s="15">
        <v>85</v>
      </c>
      <c r="G45" s="15">
        <f>Table2[[#This Row],[remoteListAmount]]-Table2[[#This Row],[remoteDiscountAmount]]</f>
        <v>365</v>
      </c>
      <c r="H45" t="s">
        <v>492</v>
      </c>
    </row>
    <row r="46" spans="1:8">
      <c r="A46" t="s">
        <v>494</v>
      </c>
      <c r="B46" s="9" t="str">
        <f t="shared" si="1"/>
        <v>(OHPB-REM-TVSTRPL)</v>
      </c>
      <c r="C46" t="s">
        <v>470</v>
      </c>
      <c r="D46" t="s">
        <v>470</v>
      </c>
      <c r="E46" s="15">
        <v>450</v>
      </c>
      <c r="F46" s="15">
        <v>85</v>
      </c>
      <c r="G46" s="15">
        <f>Table2[[#This Row],[remoteListAmount]]-Table2[[#This Row],[remoteDiscountAmount]]</f>
        <v>365</v>
      </c>
      <c r="H46" t="s">
        <v>492</v>
      </c>
    </row>
    <row r="47" spans="1:8">
      <c r="A47" t="s">
        <v>495</v>
      </c>
      <c r="B47" s="9" t="str">
        <f t="shared" si="1"/>
        <v>(OHSB-REM-PERFCLEAN)</v>
      </c>
      <c r="C47" t="s">
        <v>467</v>
      </c>
      <c r="D47" t="s">
        <v>467</v>
      </c>
      <c r="E47" s="15">
        <v>175</v>
      </c>
      <c r="F47" s="15">
        <v>50</v>
      </c>
      <c r="G47" s="15">
        <f>Table2[[#This Row],[remoteListAmount]]-Table2[[#This Row],[remoteDiscountAmount]]</f>
        <v>125</v>
      </c>
      <c r="H47" t="s">
        <v>496</v>
      </c>
    </row>
    <row r="48" spans="1:8">
      <c r="A48" t="s">
        <v>497</v>
      </c>
      <c r="B48" s="9" t="str">
        <f t="shared" si="1"/>
        <v>(OHSB-REM-TVSTRPL)</v>
      </c>
      <c r="C48" t="s">
        <v>470</v>
      </c>
      <c r="D48" t="s">
        <v>470</v>
      </c>
      <c r="E48" s="15">
        <v>450</v>
      </c>
      <c r="F48" s="15">
        <v>80</v>
      </c>
      <c r="G48" s="15">
        <f>Table2[[#This Row],[remoteListAmount]]-Table2[[#This Row],[remoteDiscountAmount]]</f>
        <v>370</v>
      </c>
      <c r="H48" t="s">
        <v>496</v>
      </c>
    </row>
    <row r="49" spans="1:10">
      <c r="A49" t="s">
        <v>498</v>
      </c>
      <c r="B49" s="9" t="str">
        <f t="shared" si="1"/>
        <v>(OH-CHGR-STD)</v>
      </c>
      <c r="C49" t="s">
        <v>432</v>
      </c>
      <c r="D49" t="s">
        <v>444</v>
      </c>
      <c r="E49" s="15">
        <v>325</v>
      </c>
      <c r="F49" s="15">
        <v>0</v>
      </c>
      <c r="G49" s="15">
        <f>Table2[[#This Row],[remoteListAmount]]-Table2[[#This Row],[remoteDiscountAmount]]</f>
        <v>325</v>
      </c>
      <c r="H49" t="s">
        <v>83</v>
      </c>
    </row>
    <row r="50" spans="1:10">
      <c r="A50" t="s">
        <v>499</v>
      </c>
      <c r="B50" s="9" t="str">
        <f t="shared" si="1"/>
        <v>(PB-REM-PERFCLEAN)</v>
      </c>
      <c r="C50" t="s">
        <v>467</v>
      </c>
      <c r="D50" t="s">
        <v>467</v>
      </c>
      <c r="E50" s="15">
        <v>175</v>
      </c>
      <c r="F50" s="15">
        <v>25</v>
      </c>
      <c r="G50" s="15">
        <f>Table2[[#This Row],[remoteListAmount]]-Table2[[#This Row],[remoteDiscountAmount]]</f>
        <v>150</v>
      </c>
      <c r="H50" t="s">
        <v>500</v>
      </c>
    </row>
    <row r="51" spans="1:10">
      <c r="A51" t="s">
        <v>501</v>
      </c>
      <c r="B51" s="9" t="str">
        <f t="shared" si="1"/>
        <v>(PB-REM-MULTIMIC)</v>
      </c>
      <c r="C51" t="s">
        <v>489</v>
      </c>
      <c r="D51" t="s">
        <v>490</v>
      </c>
      <c r="E51" s="15">
        <v>450</v>
      </c>
      <c r="F51" s="15">
        <v>50</v>
      </c>
      <c r="G51" s="15">
        <f>Table2[[#This Row],[remoteListAmount]]-Table2[[#This Row],[remoteDiscountAmount]]</f>
        <v>400</v>
      </c>
      <c r="H51" t="s">
        <v>500</v>
      </c>
    </row>
    <row r="52" spans="1:10">
      <c r="A52" t="s">
        <v>502</v>
      </c>
      <c r="B52" s="9" t="str">
        <f t="shared" si="1"/>
        <v>(PB-REM-TVSTRPL)</v>
      </c>
      <c r="C52" t="s">
        <v>470</v>
      </c>
      <c r="D52" t="s">
        <v>470</v>
      </c>
      <c r="E52" s="15">
        <v>450</v>
      </c>
      <c r="F52" s="15">
        <v>50</v>
      </c>
      <c r="G52" s="15">
        <f>Table2[[#This Row],[remoteListAmount]]-Table2[[#This Row],[remoteDiscountAmount]]</f>
        <v>400</v>
      </c>
      <c r="H52" t="s">
        <v>500</v>
      </c>
    </row>
    <row r="53" spans="1:10">
      <c r="A53" t="s">
        <v>503</v>
      </c>
      <c r="B53" s="9" t="str">
        <f t="shared" si="1"/>
        <v>(REG-CHGR-DT)</v>
      </c>
      <c r="C53" t="s">
        <v>432</v>
      </c>
      <c r="D53" t="s">
        <v>442</v>
      </c>
      <c r="E53" s="15">
        <v>225</v>
      </c>
      <c r="F53" s="15">
        <v>0</v>
      </c>
      <c r="G53" s="15">
        <f>Table2[[#This Row],[remoteListAmount]]-Table2[[#This Row],[remoteDiscountAmount]]</f>
        <v>225</v>
      </c>
      <c r="H53" t="s">
        <v>338</v>
      </c>
    </row>
    <row r="54" spans="1:10">
      <c r="A54" t="s">
        <v>504</v>
      </c>
      <c r="B54" s="9" t="str">
        <f t="shared" si="1"/>
        <v>(REG-CHGR-STD)</v>
      </c>
      <c r="C54" t="s">
        <v>432</v>
      </c>
      <c r="D54" t="s">
        <v>444</v>
      </c>
      <c r="E54" s="15">
        <v>325</v>
      </c>
      <c r="F54" s="15">
        <v>0</v>
      </c>
      <c r="G54" s="15">
        <f>Table2[[#This Row],[remoteListAmount]]-Table2[[#This Row],[remoteDiscountAmount]]</f>
        <v>325</v>
      </c>
      <c r="H54" t="s">
        <v>338</v>
      </c>
    </row>
    <row r="55" spans="1:10">
      <c r="A55" t="s">
        <v>505</v>
      </c>
      <c r="B55" s="9" t="str">
        <f t="shared" si="1"/>
        <v>(REG-CHGR-PREM)</v>
      </c>
      <c r="C55" t="s">
        <v>432</v>
      </c>
      <c r="D55" t="s">
        <v>433</v>
      </c>
      <c r="E55" s="15">
        <v>450</v>
      </c>
      <c r="F55" s="15">
        <v>0</v>
      </c>
      <c r="G55" s="15">
        <f>Table2[[#This Row],[remoteListAmount]]-Table2[[#This Row],[remoteDiscountAmount]]</f>
        <v>450</v>
      </c>
      <c r="H55" t="s">
        <v>338</v>
      </c>
    </row>
    <row r="56" spans="1:10">
      <c r="A56" t="s">
        <v>506</v>
      </c>
      <c r="B56" s="9" t="str">
        <f t="shared" si="1"/>
        <v>(REG-REM-REMOTE2)</v>
      </c>
      <c r="C56" t="s">
        <v>507</v>
      </c>
      <c r="D56" t="s">
        <v>508</v>
      </c>
      <c r="E56" s="15">
        <v>225</v>
      </c>
      <c r="F56" s="15">
        <v>0</v>
      </c>
      <c r="G56" s="15">
        <f>Table2[[#This Row],[remoteListAmount]]-Table2[[#This Row],[remoteDiscountAmount]]</f>
        <v>225</v>
      </c>
      <c r="H56" t="s">
        <v>338</v>
      </c>
    </row>
    <row r="57" spans="1:10">
      <c r="A57" t="s">
        <v>509</v>
      </c>
      <c r="B57" s="9" t="str">
        <f t="shared" si="1"/>
        <v>(REG-REM-REMOTE3)</v>
      </c>
      <c r="C57" t="s">
        <v>507</v>
      </c>
      <c r="D57" t="s">
        <v>507</v>
      </c>
      <c r="E57" s="15">
        <v>325</v>
      </c>
      <c r="F57" s="15">
        <v>0</v>
      </c>
      <c r="G57" s="15">
        <f>Table2[[#This Row],[remoteListAmount]]-Table2[[#This Row],[remoteDiscountAmount]]</f>
        <v>325</v>
      </c>
      <c r="H57" t="s">
        <v>338</v>
      </c>
    </row>
    <row r="58" spans="1:10">
      <c r="A58" t="s">
        <v>510</v>
      </c>
      <c r="B58" s="9" t="str">
        <f t="shared" si="1"/>
        <v>(REG-REM-MYPALMICRO)</v>
      </c>
      <c r="C58" t="s">
        <v>436</v>
      </c>
      <c r="D58" t="s">
        <v>436</v>
      </c>
      <c r="E58" s="15">
        <v>225</v>
      </c>
      <c r="F58" s="15">
        <v>0</v>
      </c>
      <c r="G58" s="15">
        <f>Table2[[#This Row],[remoteListAmount]]-Table2[[#This Row],[remoteDiscountAmount]]</f>
        <v>225</v>
      </c>
      <c r="H58" t="s">
        <v>338</v>
      </c>
    </row>
    <row r="59" spans="1:10">
      <c r="A59" t="s">
        <v>511</v>
      </c>
      <c r="B59" s="9" t="str">
        <f t="shared" si="1"/>
        <v>(REG-REM-MYPALPRO)</v>
      </c>
      <c r="C59" t="s">
        <v>438</v>
      </c>
      <c r="D59" t="s">
        <v>438</v>
      </c>
      <c r="E59" s="15">
        <v>315</v>
      </c>
      <c r="F59" s="15">
        <v>0</v>
      </c>
      <c r="G59" s="15">
        <f>Table2[[#This Row],[remoteListAmount]]-Table2[[#This Row],[remoteDiscountAmount]]</f>
        <v>315</v>
      </c>
      <c r="H59" t="s">
        <v>338</v>
      </c>
    </row>
    <row r="60" spans="1:10">
      <c r="A60" t="s">
        <v>512</v>
      </c>
      <c r="B60" s="9" t="str">
        <f t="shared" si="1"/>
        <v>(REG-REM-PHONELINK2)</v>
      </c>
      <c r="C60" t="s">
        <v>513</v>
      </c>
      <c r="D60" t="s">
        <v>513</v>
      </c>
      <c r="E60" s="15">
        <v>200</v>
      </c>
      <c r="F60" s="15">
        <v>0</v>
      </c>
      <c r="G60" s="15">
        <f>Table2[[#This Row],[remoteListAmount]]-Table2[[#This Row],[remoteDiscountAmount]]</f>
        <v>200</v>
      </c>
      <c r="H60" t="s">
        <v>338</v>
      </c>
      <c r="J60" s="21"/>
    </row>
    <row r="61" spans="1:10">
      <c r="A61" t="s">
        <v>514</v>
      </c>
      <c r="B61" s="9" t="str">
        <f t="shared" si="1"/>
        <v>(REG-REM-TVLINK2)</v>
      </c>
      <c r="C61" t="s">
        <v>440</v>
      </c>
      <c r="D61" t="s">
        <v>440</v>
      </c>
      <c r="E61" s="15">
        <v>340</v>
      </c>
      <c r="F61" s="15">
        <v>0</v>
      </c>
      <c r="G61" s="15">
        <f>Table2[[#This Row],[remoteListAmount]]-Table2[[#This Row],[remoteDiscountAmount]]</f>
        <v>340</v>
      </c>
      <c r="H61" t="s">
        <v>338</v>
      </c>
      <c r="J61" s="21"/>
    </row>
    <row r="62" spans="1:10">
      <c r="A62" t="s">
        <v>515</v>
      </c>
      <c r="B62" s="9" t="str">
        <f t="shared" si="1"/>
        <v>(REG-REM-PERFCLEAN)</v>
      </c>
      <c r="C62" t="s">
        <v>467</v>
      </c>
      <c r="D62" t="s">
        <v>467</v>
      </c>
      <c r="E62" s="15">
        <v>175</v>
      </c>
      <c r="F62" s="15">
        <v>0</v>
      </c>
      <c r="G62" s="15">
        <f>Table2[[#This Row],[remoteListAmount]]-Table2[[#This Row],[remoteDiscountAmount]]</f>
        <v>175</v>
      </c>
      <c r="H62" t="s">
        <v>338</v>
      </c>
      <c r="J62" s="21"/>
    </row>
    <row r="63" spans="1:10">
      <c r="A63" t="s">
        <v>516</v>
      </c>
      <c r="B63" s="9" t="str">
        <f t="shared" si="1"/>
        <v>(REG-REM-TVSTRPL)</v>
      </c>
      <c r="C63" t="s">
        <v>517</v>
      </c>
      <c r="D63" t="s">
        <v>517</v>
      </c>
      <c r="E63" s="15">
        <v>365</v>
      </c>
      <c r="F63" s="15">
        <v>0</v>
      </c>
      <c r="G63" s="15">
        <f>Table2[[#This Row],[remoteListAmount]]-Table2[[#This Row],[remoteDiscountAmount]]</f>
        <v>365</v>
      </c>
      <c r="H63" t="s">
        <v>338</v>
      </c>
      <c r="J63" s="21"/>
    </row>
    <row r="64" spans="1:10">
      <c r="A64" t="s">
        <v>516</v>
      </c>
      <c r="B64" s="9" t="str">
        <f t="shared" si="1"/>
        <v>(REG-REM-TVSTRPL)</v>
      </c>
      <c r="C64" t="s">
        <v>470</v>
      </c>
      <c r="D64" t="s">
        <v>470</v>
      </c>
      <c r="E64" s="15">
        <v>450</v>
      </c>
      <c r="F64" s="15">
        <v>0</v>
      </c>
      <c r="G64" s="20">
        <f>Table2[[#This Row],[remoteListAmount]]-Table2[[#This Row],[remoteDiscountAmount]]</f>
        <v>450</v>
      </c>
      <c r="H64" t="s">
        <v>338</v>
      </c>
      <c r="J64" s="21"/>
    </row>
    <row r="65" spans="1:10">
      <c r="A65" t="s">
        <v>514</v>
      </c>
      <c r="B65" s="9" t="str">
        <f t="shared" si="1"/>
        <v>(REG-REM-TVLINK2)</v>
      </c>
      <c r="C65" t="s">
        <v>508</v>
      </c>
      <c r="D65" t="s">
        <v>508</v>
      </c>
      <c r="E65" s="20">
        <v>300</v>
      </c>
      <c r="F65" s="15">
        <v>0</v>
      </c>
      <c r="G65" s="20">
        <f>Table2[[#This Row],[remoteListAmount]]-Table2[[#This Row],[remoteDiscountAmount]]</f>
        <v>300</v>
      </c>
      <c r="H65" t="s">
        <v>338</v>
      </c>
      <c r="J65" s="21"/>
    </row>
    <row r="66" spans="1:10">
      <c r="A66" t="s">
        <v>509</v>
      </c>
      <c r="B66" s="9" t="str">
        <f t="shared" ref="B66:B91" si="2">"("&amp;A66&amp;")"</f>
        <v>(REG-REM-REMOTE3)</v>
      </c>
      <c r="C66" t="s">
        <v>507</v>
      </c>
      <c r="D66" t="s">
        <v>507</v>
      </c>
      <c r="E66" s="15">
        <v>325</v>
      </c>
      <c r="F66" s="15">
        <v>0</v>
      </c>
      <c r="G66" s="20">
        <f>Table2[[#This Row],[remoteListAmount]]-Table2[[#This Row],[remoteDiscountAmount]]</f>
        <v>325</v>
      </c>
      <c r="H66" t="s">
        <v>338</v>
      </c>
      <c r="J66" s="21"/>
    </row>
    <row r="67" spans="1:10">
      <c r="A67" t="s">
        <v>518</v>
      </c>
      <c r="B67" s="9" t="str">
        <f t="shared" si="2"/>
        <v>(REG-REM-MULTIMIC)</v>
      </c>
      <c r="C67" t="s">
        <v>489</v>
      </c>
      <c r="D67" t="s">
        <v>490</v>
      </c>
      <c r="E67" s="15">
        <v>450</v>
      </c>
      <c r="F67" s="15">
        <v>0</v>
      </c>
      <c r="G67" s="20">
        <f>Table2[[#This Row],[remoteListAmount]]-Table2[[#This Row],[remoteDiscountAmount]]</f>
        <v>450</v>
      </c>
      <c r="H67" t="s">
        <v>338</v>
      </c>
      <c r="J67" s="21"/>
    </row>
    <row r="68" spans="1:10">
      <c r="B68" s="9" t="str">
        <f t="shared" si="2"/>
        <v>()</v>
      </c>
      <c r="C68" t="s">
        <v>440</v>
      </c>
      <c r="D68" t="s">
        <v>440</v>
      </c>
      <c r="E68" s="20">
        <v>425</v>
      </c>
      <c r="F68" s="15">
        <v>0</v>
      </c>
      <c r="G68" s="19">
        <f>Table2[[#This Row],[remoteListAmount]]-Table2[[#This Row],[remoteDiscountAmount]]</f>
        <v>425</v>
      </c>
      <c r="H68" t="s">
        <v>338</v>
      </c>
    </row>
    <row r="69" spans="1:10">
      <c r="B69" s="9" t="str">
        <f t="shared" si="2"/>
        <v>()</v>
      </c>
      <c r="C69" t="s">
        <v>436</v>
      </c>
      <c r="D69" t="s">
        <v>436</v>
      </c>
      <c r="E69" s="20">
        <v>325</v>
      </c>
      <c r="F69" s="15">
        <v>0</v>
      </c>
      <c r="G69" s="19">
        <f>Table2[[#This Row],[remoteListAmount]]-Table2[[#This Row],[remoteDiscountAmount]]</f>
        <v>325</v>
      </c>
      <c r="H69" t="s">
        <v>338</v>
      </c>
    </row>
    <row r="70" spans="1:10">
      <c r="B70" s="9" t="str">
        <f t="shared" si="2"/>
        <v>()</v>
      </c>
      <c r="C70" t="s">
        <v>513</v>
      </c>
      <c r="D70" t="s">
        <v>513</v>
      </c>
      <c r="E70" s="20">
        <v>325</v>
      </c>
      <c r="F70" s="15">
        <v>0</v>
      </c>
      <c r="G70" s="19">
        <f>Table2[[#This Row],[remoteListAmount]]-Table2[[#This Row],[remoteDiscountAmount]]</f>
        <v>325</v>
      </c>
      <c r="H70" t="s">
        <v>338</v>
      </c>
    </row>
    <row r="71" spans="1:10">
      <c r="A71" t="s">
        <v>519</v>
      </c>
      <c r="B71" s="9" t="str">
        <f t="shared" si="2"/>
        <v>(CTH-CHGR-DT)</v>
      </c>
      <c r="C71" t="s">
        <v>432</v>
      </c>
      <c r="D71" t="s">
        <v>442</v>
      </c>
      <c r="E71" s="15">
        <v>225</v>
      </c>
      <c r="F71" s="15">
        <v>0</v>
      </c>
      <c r="G71" s="19">
        <f>Table2[[#This Row],[remoteListAmount]]-Table2[[#This Row],[remoteDiscountAmount]]</f>
        <v>225</v>
      </c>
      <c r="H71" t="s">
        <v>85</v>
      </c>
    </row>
    <row r="72" spans="1:10">
      <c r="A72" t="s">
        <v>520</v>
      </c>
      <c r="B72" s="9" t="str">
        <f t="shared" si="2"/>
        <v>(CTH-CHGR-STD)</v>
      </c>
      <c r="C72" t="s">
        <v>432</v>
      </c>
      <c r="D72" t="s">
        <v>444</v>
      </c>
      <c r="E72" s="15">
        <v>325</v>
      </c>
      <c r="F72" s="15">
        <v>0</v>
      </c>
      <c r="G72" s="19">
        <f>Table2[[#This Row],[remoteListAmount]]-Table2[[#This Row],[remoteDiscountAmount]]</f>
        <v>325</v>
      </c>
      <c r="H72" t="s">
        <v>85</v>
      </c>
    </row>
    <row r="73" spans="1:10">
      <c r="A73" t="s">
        <v>521</v>
      </c>
      <c r="B73" s="9" t="str">
        <f t="shared" si="2"/>
        <v>(CWC-CHGR-DT)</v>
      </c>
      <c r="C73" t="s">
        <v>432</v>
      </c>
      <c r="D73" t="s">
        <v>442</v>
      </c>
      <c r="E73" s="15">
        <v>225</v>
      </c>
      <c r="F73" s="15">
        <v>0</v>
      </c>
      <c r="G73" s="19">
        <f>Table2[[#This Row],[remoteListAmount]]-Table2[[#This Row],[remoteDiscountAmount]]</f>
        <v>225</v>
      </c>
      <c r="H73" t="s">
        <v>88</v>
      </c>
    </row>
    <row r="74" spans="1:10">
      <c r="A74" t="s">
        <v>522</v>
      </c>
      <c r="B74" s="9" t="str">
        <f t="shared" si="2"/>
        <v>(CWC-CHGR-STD)</v>
      </c>
      <c r="C74" t="s">
        <v>432</v>
      </c>
      <c r="D74" t="s">
        <v>444</v>
      </c>
      <c r="E74" s="15">
        <v>325</v>
      </c>
      <c r="F74" s="15">
        <v>0</v>
      </c>
      <c r="G74" s="19">
        <f>Table2[[#This Row],[remoteListAmount]]-Table2[[#This Row],[remoteDiscountAmount]]</f>
        <v>325</v>
      </c>
      <c r="H74" t="s">
        <v>88</v>
      </c>
    </row>
    <row r="75" spans="1:10">
      <c r="A75" t="s">
        <v>523</v>
      </c>
      <c r="B75" s="9" t="str">
        <f t="shared" si="2"/>
        <v>(VOL-CHGR-DT)</v>
      </c>
      <c r="C75" t="s">
        <v>432</v>
      </c>
      <c r="D75" t="s">
        <v>442</v>
      </c>
      <c r="E75" s="20">
        <v>225</v>
      </c>
      <c r="F75" s="23">
        <v>0</v>
      </c>
      <c r="G75" s="20">
        <f>Table2[[#This Row],[remoteListAmount]]-Table2[[#This Row],[remoteDiscountAmount]]</f>
        <v>225</v>
      </c>
      <c r="H75" t="s">
        <v>10</v>
      </c>
    </row>
    <row r="76" spans="1:10">
      <c r="A76" t="s">
        <v>524</v>
      </c>
      <c r="B76" s="9" t="str">
        <f t="shared" si="2"/>
        <v>(VOL-CHGR-STD)</v>
      </c>
      <c r="C76" t="s">
        <v>432</v>
      </c>
      <c r="D76" t="s">
        <v>444</v>
      </c>
      <c r="E76" s="20">
        <v>325</v>
      </c>
      <c r="F76" s="23">
        <v>0</v>
      </c>
      <c r="G76" s="20">
        <f>Table2[[#This Row],[remoteListAmount]]-Table2[[#This Row],[remoteDiscountAmount]]</f>
        <v>325</v>
      </c>
      <c r="H76" t="s">
        <v>10</v>
      </c>
    </row>
    <row r="77" spans="1:10">
      <c r="A77" t="s">
        <v>525</v>
      </c>
      <c r="B77" s="9" t="str">
        <f t="shared" si="2"/>
        <v>(VOL-CHGR-PREM)</v>
      </c>
      <c r="C77" t="s">
        <v>432</v>
      </c>
      <c r="D77" t="s">
        <v>433</v>
      </c>
      <c r="E77" s="20">
        <v>450</v>
      </c>
      <c r="F77" s="23">
        <v>0</v>
      </c>
      <c r="G77" s="20">
        <f>Table2[[#This Row],[remoteListAmount]]-Table2[[#This Row],[remoteDiscountAmount]]</f>
        <v>450</v>
      </c>
      <c r="H77" t="s">
        <v>10</v>
      </c>
    </row>
    <row r="78" spans="1:10">
      <c r="A78" t="s">
        <v>526</v>
      </c>
      <c r="B78" s="9" t="str">
        <f t="shared" si="2"/>
        <v>(VOL-REM-REMOTE2)</v>
      </c>
      <c r="C78" t="s">
        <v>507</v>
      </c>
      <c r="D78" t="s">
        <v>508</v>
      </c>
      <c r="E78" s="20">
        <v>225</v>
      </c>
      <c r="F78" s="23">
        <v>0</v>
      </c>
      <c r="G78" s="20">
        <f>Table2[[#This Row],[remoteListAmount]]-Table2[[#This Row],[remoteDiscountAmount]]</f>
        <v>225</v>
      </c>
      <c r="H78" t="s">
        <v>10</v>
      </c>
    </row>
    <row r="79" spans="1:10">
      <c r="A79" t="s">
        <v>527</v>
      </c>
      <c r="B79" s="9" t="str">
        <f t="shared" si="2"/>
        <v>(VOL-REM-REMOTE3)</v>
      </c>
      <c r="C79" t="s">
        <v>507</v>
      </c>
      <c r="D79" t="s">
        <v>507</v>
      </c>
      <c r="E79" s="15">
        <v>325</v>
      </c>
      <c r="F79" s="23">
        <v>0</v>
      </c>
      <c r="G79" s="20">
        <f>Table2[[#This Row],[remoteListAmount]]-Table2[[#This Row],[remoteDiscountAmount]]</f>
        <v>325</v>
      </c>
      <c r="H79" t="s">
        <v>10</v>
      </c>
    </row>
    <row r="80" spans="1:10">
      <c r="A80" t="s">
        <v>528</v>
      </c>
      <c r="B80" s="9" t="str">
        <f t="shared" si="2"/>
        <v>(VOL-REM-MYPALMICRO)</v>
      </c>
      <c r="C80" t="s">
        <v>436</v>
      </c>
      <c r="D80" t="s">
        <v>436</v>
      </c>
      <c r="E80" s="20">
        <v>225</v>
      </c>
      <c r="F80" s="23">
        <v>0</v>
      </c>
      <c r="G80" s="20">
        <f>Table2[[#This Row],[remoteListAmount]]-Table2[[#This Row],[remoteDiscountAmount]]</f>
        <v>225</v>
      </c>
      <c r="H80" t="s">
        <v>10</v>
      </c>
    </row>
    <row r="81" spans="1:8">
      <c r="A81" t="s">
        <v>529</v>
      </c>
      <c r="B81" s="9" t="str">
        <f t="shared" si="2"/>
        <v>(VOL-REM-MYPALPRO)</v>
      </c>
      <c r="C81" t="s">
        <v>438</v>
      </c>
      <c r="D81" t="s">
        <v>438</v>
      </c>
      <c r="E81" s="20">
        <v>315</v>
      </c>
      <c r="F81" s="23">
        <v>0</v>
      </c>
      <c r="G81" s="20">
        <f>Table2[[#This Row],[remoteListAmount]]-Table2[[#This Row],[remoteDiscountAmount]]</f>
        <v>315</v>
      </c>
      <c r="H81" t="s">
        <v>10</v>
      </c>
    </row>
    <row r="82" spans="1:8">
      <c r="A82" t="s">
        <v>530</v>
      </c>
      <c r="B82" s="9" t="str">
        <f t="shared" si="2"/>
        <v>(VOL-REM-PHONELINK2)</v>
      </c>
      <c r="C82" t="s">
        <v>513</v>
      </c>
      <c r="D82" t="s">
        <v>513</v>
      </c>
      <c r="E82" s="20">
        <v>200</v>
      </c>
      <c r="F82" s="23">
        <v>0</v>
      </c>
      <c r="G82" s="20">
        <f>Table2[[#This Row],[remoteListAmount]]-Table2[[#This Row],[remoteDiscountAmount]]</f>
        <v>200</v>
      </c>
      <c r="H82" t="s">
        <v>10</v>
      </c>
    </row>
    <row r="83" spans="1:8">
      <c r="A83" t="s">
        <v>531</v>
      </c>
      <c r="B83" s="9" t="str">
        <f t="shared" si="2"/>
        <v>(VOL-REM-TVLINK2)</v>
      </c>
      <c r="C83" t="s">
        <v>440</v>
      </c>
      <c r="D83" t="s">
        <v>440</v>
      </c>
      <c r="E83" s="20">
        <v>340</v>
      </c>
      <c r="F83" s="23">
        <v>0</v>
      </c>
      <c r="G83" s="20">
        <f>Table2[[#This Row],[remoteListAmount]]-Table2[[#This Row],[remoteDiscountAmount]]</f>
        <v>340</v>
      </c>
      <c r="H83" t="s">
        <v>10</v>
      </c>
    </row>
    <row r="84" spans="1:8">
      <c r="A84" t="s">
        <v>532</v>
      </c>
      <c r="B84" s="9" t="str">
        <f t="shared" si="2"/>
        <v>(VOL-REM-PERFCLEAN)</v>
      </c>
      <c r="C84" t="s">
        <v>467</v>
      </c>
      <c r="D84" t="s">
        <v>467</v>
      </c>
      <c r="E84" s="15">
        <v>175</v>
      </c>
      <c r="F84" s="23">
        <v>0</v>
      </c>
      <c r="G84" s="20">
        <f>Table2[[#This Row],[remoteListAmount]]-Table2[[#This Row],[remoteDiscountAmount]]</f>
        <v>175</v>
      </c>
      <c r="H84" t="s">
        <v>10</v>
      </c>
    </row>
    <row r="85" spans="1:8">
      <c r="A85" t="s">
        <v>533</v>
      </c>
      <c r="B85" s="9" t="str">
        <f t="shared" si="2"/>
        <v>(VOL-REM-TVSTRPL)</v>
      </c>
      <c r="C85" t="s">
        <v>517</v>
      </c>
      <c r="D85" t="s">
        <v>517</v>
      </c>
      <c r="E85" s="20">
        <v>365</v>
      </c>
      <c r="F85" s="23">
        <v>0</v>
      </c>
      <c r="G85" s="20">
        <f>Table2[[#This Row],[remoteListAmount]]-Table2[[#This Row],[remoteDiscountAmount]]</f>
        <v>365</v>
      </c>
      <c r="H85" t="s">
        <v>10</v>
      </c>
    </row>
    <row r="86" spans="1:8">
      <c r="A86" t="s">
        <v>533</v>
      </c>
      <c r="B86" s="9" t="str">
        <f t="shared" si="2"/>
        <v>(VOL-REM-TVSTRPL)</v>
      </c>
      <c r="C86" t="s">
        <v>470</v>
      </c>
      <c r="D86" t="s">
        <v>470</v>
      </c>
      <c r="E86" s="15">
        <v>450</v>
      </c>
      <c r="F86" s="23">
        <v>0</v>
      </c>
      <c r="G86" s="20">
        <f>Table2[[#This Row],[remoteListAmount]]-Table2[[#This Row],[remoteDiscountAmount]]</f>
        <v>450</v>
      </c>
      <c r="H86" t="s">
        <v>10</v>
      </c>
    </row>
    <row r="87" spans="1:8">
      <c r="A87" t="s">
        <v>531</v>
      </c>
      <c r="B87" s="9" t="str">
        <f t="shared" si="2"/>
        <v>(VOL-REM-TVLINK2)</v>
      </c>
      <c r="C87" t="s">
        <v>508</v>
      </c>
      <c r="D87" t="s">
        <v>508</v>
      </c>
      <c r="E87" s="20">
        <v>300</v>
      </c>
      <c r="F87" s="23">
        <v>0</v>
      </c>
      <c r="G87" s="20">
        <f>Table2[[#This Row],[remoteListAmount]]-Table2[[#This Row],[remoteDiscountAmount]]</f>
        <v>300</v>
      </c>
      <c r="H87" t="s">
        <v>10</v>
      </c>
    </row>
    <row r="88" spans="1:8">
      <c r="A88" t="s">
        <v>527</v>
      </c>
      <c r="B88" s="9" t="str">
        <f t="shared" si="2"/>
        <v>(VOL-REM-REMOTE3)</v>
      </c>
      <c r="C88" t="s">
        <v>507</v>
      </c>
      <c r="D88" t="s">
        <v>507</v>
      </c>
      <c r="E88" s="15">
        <v>325</v>
      </c>
      <c r="F88" s="23">
        <v>0</v>
      </c>
      <c r="G88" s="20">
        <f>Table2[[#This Row],[remoteListAmount]]-Table2[[#This Row],[remoteDiscountAmount]]</f>
        <v>325</v>
      </c>
      <c r="H88" t="s">
        <v>10</v>
      </c>
    </row>
    <row r="89" spans="1:8">
      <c r="A89" t="s">
        <v>534</v>
      </c>
      <c r="B89" s="9" t="str">
        <f t="shared" si="2"/>
        <v>(VOL-REM-MULTIMIC)</v>
      </c>
      <c r="C89" t="s">
        <v>489</v>
      </c>
      <c r="D89" t="s">
        <v>490</v>
      </c>
      <c r="E89" s="15">
        <v>450</v>
      </c>
      <c r="F89" s="23">
        <v>0</v>
      </c>
      <c r="G89" s="20">
        <f>Table2[[#This Row],[remoteListAmount]]-Table2[[#This Row],[remoteDiscountAmount]]</f>
        <v>450</v>
      </c>
      <c r="H89" t="s">
        <v>10</v>
      </c>
    </row>
    <row r="90" spans="1:8">
      <c r="A90" t="s">
        <v>535</v>
      </c>
      <c r="B90" s="9" t="str">
        <f t="shared" si="2"/>
        <v>(VOL-REM-TVLINK2ONLY)</v>
      </c>
      <c r="C90" t="s">
        <v>440</v>
      </c>
      <c r="D90" t="s">
        <v>440</v>
      </c>
      <c r="E90" s="20">
        <v>425</v>
      </c>
      <c r="F90" s="23">
        <v>0</v>
      </c>
      <c r="G90" s="19">
        <f>Table2[[#This Row],[remoteListAmount]]-Table2[[#This Row],[remoteDiscountAmount]]</f>
        <v>425</v>
      </c>
      <c r="H90" t="s">
        <v>10</v>
      </c>
    </row>
    <row r="91" spans="1:8">
      <c r="A91" t="s">
        <v>536</v>
      </c>
      <c r="B91" s="9" t="str">
        <f t="shared" si="2"/>
        <v>(VOL-REM-MYPALMICROONLY)</v>
      </c>
      <c r="C91" t="s">
        <v>436</v>
      </c>
      <c r="D91" t="s">
        <v>436</v>
      </c>
      <c r="E91" s="20">
        <v>325</v>
      </c>
      <c r="F91" s="23">
        <v>0</v>
      </c>
      <c r="G91" s="19">
        <f>Table2[[#This Row],[remoteListAmount]]-Table2[[#This Row],[remoteDiscountAmount]]</f>
        <v>325</v>
      </c>
      <c r="H91" t="s">
        <v>10</v>
      </c>
    </row>
    <row r="92" spans="1:8">
      <c r="A92" t="s">
        <v>537</v>
      </c>
      <c r="B92" s="9" t="str">
        <f>"("&amp;A92&amp;")"</f>
        <v>(VOL-REM-PHONELINK2ONLY)</v>
      </c>
      <c r="C92" t="s">
        <v>513</v>
      </c>
      <c r="D92" t="s">
        <v>513</v>
      </c>
      <c r="E92" s="20">
        <v>325</v>
      </c>
      <c r="F92" s="23">
        <v>0</v>
      </c>
      <c r="G92" s="24">
        <f>Table2[[#This Row],[remoteListAmount]]-Table2[[#This Row],[remoteDiscountAmount]]</f>
        <v>325</v>
      </c>
      <c r="H92" t="s">
        <v>10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CD5C8-84EF-4E52-92C3-639A9DF2089C}">
  <dimension ref="A1:H3"/>
  <sheetViews>
    <sheetView workbookViewId="0">
      <selection activeCell="G4" sqref="G4"/>
    </sheetView>
  </sheetViews>
  <sheetFormatPr defaultRowHeight="12"/>
  <cols>
    <col min="1" max="1" width="18.140625" bestFit="1" customWidth="1"/>
    <col min="2" max="2" width="16.5703125" bestFit="1" customWidth="1"/>
    <col min="3" max="3" width="20.28515625" bestFit="1" customWidth="1"/>
    <col min="4" max="5" width="25.5703125" customWidth="1"/>
    <col min="6" max="6" width="25.42578125" customWidth="1"/>
    <col min="7" max="7" width="22.5703125" customWidth="1"/>
    <col min="8" max="8" width="12.85546875" customWidth="1"/>
  </cols>
  <sheetData>
    <row r="1" spans="1:8">
      <c r="A1" s="11" t="s">
        <v>96</v>
      </c>
      <c r="B1" s="12" t="s">
        <v>97</v>
      </c>
      <c r="C1" s="12" t="s">
        <v>538</v>
      </c>
      <c r="D1" s="12" t="s">
        <v>539</v>
      </c>
      <c r="E1" s="12" t="s">
        <v>540</v>
      </c>
      <c r="F1" s="12" t="s">
        <v>541</v>
      </c>
      <c r="G1" s="12" t="s">
        <v>542</v>
      </c>
      <c r="H1" s="12" t="s">
        <v>37</v>
      </c>
    </row>
    <row r="2" spans="1:8">
      <c r="A2" s="5" t="s">
        <v>543</v>
      </c>
      <c r="B2" s="9" t="str">
        <f>"("&amp;A2&amp;")"</f>
        <v>(REG-SVC-PAFITTING)</v>
      </c>
      <c r="C2" s="5" t="s">
        <v>544</v>
      </c>
      <c r="D2" s="5" t="s">
        <v>338</v>
      </c>
      <c r="E2" s="18">
        <v>400</v>
      </c>
      <c r="F2" s="18">
        <v>0</v>
      </c>
      <c r="G2" s="18">
        <v>400</v>
      </c>
      <c r="H2" s="5">
        <v>1</v>
      </c>
    </row>
    <row r="3" spans="1:8">
      <c r="A3" s="5" t="s">
        <v>545</v>
      </c>
      <c r="B3" s="9" t="str">
        <f>"("&amp;A3&amp;")"</f>
        <v>(REG-SVC-OPTSVC)</v>
      </c>
      <c r="C3" s="5" t="s">
        <v>546</v>
      </c>
      <c r="D3" s="5" t="s">
        <v>338</v>
      </c>
      <c r="E3" s="18">
        <v>599</v>
      </c>
      <c r="F3" s="18">
        <v>0</v>
      </c>
      <c r="G3" s="18">
        <v>599</v>
      </c>
      <c r="H3" s="5">
        <v>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0CF4B-F9EC-407F-8C73-9C597C45A3D8}">
  <dimension ref="A1:G3"/>
  <sheetViews>
    <sheetView workbookViewId="0">
      <selection activeCell="E1" sqref="E1:G1"/>
    </sheetView>
  </sheetViews>
  <sheetFormatPr defaultRowHeight="12"/>
  <cols>
    <col min="1" max="1" width="26.140625" bestFit="1" customWidth="1"/>
    <col min="2" max="2" width="27.28515625" bestFit="1" customWidth="1"/>
    <col min="3" max="3" width="18.7109375" bestFit="1" customWidth="1"/>
    <col min="4" max="5" width="24.7109375" customWidth="1"/>
    <col min="6" max="6" width="21.7109375" customWidth="1"/>
  </cols>
  <sheetData>
    <row r="1" spans="1:7">
      <c r="A1" t="s">
        <v>96</v>
      </c>
      <c r="B1" t="s">
        <v>97</v>
      </c>
      <c r="C1" t="s">
        <v>547</v>
      </c>
      <c r="D1" t="s">
        <v>548</v>
      </c>
      <c r="E1" t="s">
        <v>549</v>
      </c>
      <c r="F1" t="s">
        <v>550</v>
      </c>
      <c r="G1" t="s">
        <v>551</v>
      </c>
    </row>
    <row r="2" spans="1:7">
      <c r="A2" s="5" t="s">
        <v>552</v>
      </c>
      <c r="B2" s="9" t="str">
        <f t="shared" ref="B2:B3" si="0">"("&amp;A2&amp;")"</f>
        <v>(REG-ACC-PERFDRYLUX)</v>
      </c>
      <c r="C2" s="5" t="s">
        <v>553</v>
      </c>
      <c r="D2" s="5" t="s">
        <v>338</v>
      </c>
      <c r="E2" s="18">
        <v>95</v>
      </c>
      <c r="F2" s="18">
        <v>0</v>
      </c>
      <c r="G2" s="18">
        <v>95</v>
      </c>
    </row>
    <row r="3" spans="1:7">
      <c r="A3" s="5" t="s">
        <v>554</v>
      </c>
      <c r="B3" s="9" t="str">
        <f t="shared" si="0"/>
        <v>(REG-ACC-PERFCLEANREFILL)</v>
      </c>
      <c r="C3" s="5" t="s">
        <v>555</v>
      </c>
      <c r="D3" s="5" t="s">
        <v>338</v>
      </c>
      <c r="E3" s="18">
        <v>30</v>
      </c>
      <c r="F3" s="18">
        <v>0</v>
      </c>
      <c r="G3" s="18">
        <v>30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02B6F-B860-41DC-9D50-B3B43A9E1932}">
  <dimension ref="A2:E7"/>
  <sheetViews>
    <sheetView workbookViewId="0">
      <selection activeCell="B3" sqref="B3"/>
    </sheetView>
  </sheetViews>
  <sheetFormatPr defaultRowHeight="12"/>
  <cols>
    <col min="1" max="1" width="36.140625" bestFit="1" customWidth="1"/>
    <col min="2" max="2" width="24" bestFit="1" customWidth="1"/>
    <col min="3" max="3" width="35.42578125" bestFit="1" customWidth="1"/>
    <col min="4" max="4" width="16.5703125" bestFit="1" customWidth="1"/>
    <col min="5" max="5" width="18.85546875" bestFit="1" customWidth="1"/>
  </cols>
  <sheetData>
    <row r="2" spans="1:5">
      <c r="A2" s="1" t="s">
        <v>556</v>
      </c>
      <c r="B2" s="1" t="s">
        <v>3</v>
      </c>
      <c r="C2" s="1" t="s">
        <v>557</v>
      </c>
      <c r="D2" s="1"/>
      <c r="E2" s="1"/>
    </row>
    <row r="3" spans="1:5">
      <c r="A3" t="e" cm="1">
        <f t="array" ref="A3">_xlfn.UNIQUE(_xlfn._xlws.SORT((#REF!)))</f>
        <v>#REF!</v>
      </c>
      <c r="B3" t="e" cm="1">
        <f t="array" ref="B3">_xlfn.UNIQUE(_xlfn._xlws.SORT(_xlfn._xlws.FILTER(#REF!,#REF!&lt;&gt; "")))</f>
        <v>#REF!</v>
      </c>
      <c r="C3" t="s">
        <v>558</v>
      </c>
    </row>
    <row r="4" spans="1:5">
      <c r="C4" t="s">
        <v>559</v>
      </c>
    </row>
    <row r="5" spans="1:5">
      <c r="C5" t="s">
        <v>560</v>
      </c>
    </row>
    <row r="6" spans="1:5">
      <c r="C6" t="s">
        <v>561</v>
      </c>
    </row>
    <row r="7" spans="1:5">
      <c r="C7" t="s">
        <v>20</v>
      </c>
    </row>
  </sheetData>
  <sortState xmlns:xlrd2="http://schemas.microsoft.com/office/spreadsheetml/2017/richdata2" ref="C3:C6">
    <sortCondition ref="C3:C6"/>
  </sortState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Price Calculator</vt:lpstr>
      <vt:lpstr>haList</vt:lpstr>
      <vt:lpstr>receiverList</vt:lpstr>
      <vt:lpstr>remoteList</vt:lpstr>
      <vt:lpstr>serviceList</vt:lpstr>
      <vt:lpstr>accessoryList</vt:lpstr>
      <vt:lpstr>Data Lists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Nelson Pacheco</dc:creator>
  <cp:keywords/>
  <dc:description/>
  <cp:lastModifiedBy>Lynettee Guo</cp:lastModifiedBy>
  <cp:revision/>
  <dcterms:created xsi:type="dcterms:W3CDTF">2022-02-28T17:51:21Z</dcterms:created>
  <dcterms:modified xsi:type="dcterms:W3CDTF">2026-10-22T00:12:02Z</dcterms:modified>
  <cp:category/>
  <cp:contentStatus/>
</cp:coreProperties>
</file>