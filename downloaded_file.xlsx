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77" documentId="8_{964C585B-190F-46EC-9553-F8D486DF59FA}" xr6:coauthVersionLast="47" xr6:coauthVersionMax="47" xr10:uidLastSave="{8A4870DE-DC74-464C-AFEB-B236AA8DD9D8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2" i="1" l="1"/>
  <c r="J43" i="1"/>
  <c r="J42" i="1"/>
  <c r="L43" i="1"/>
  <c r="F162" i="1"/>
  <c r="G162" i="1" s="1"/>
  <c r="C162" i="1"/>
  <c r="F161" i="1"/>
  <c r="G161" i="1" s="1"/>
  <c r="K161" i="1" s="1"/>
  <c r="C161" i="1"/>
  <c r="N157" i="1"/>
  <c r="N158" i="1"/>
  <c r="N159" i="1"/>
  <c r="N160" i="1"/>
  <c r="F160" i="1"/>
  <c r="J160" i="1" s="1"/>
  <c r="C160" i="1"/>
  <c r="F159" i="1"/>
  <c r="J159" i="1" s="1"/>
  <c r="C159" i="1"/>
  <c r="F158" i="1"/>
  <c r="G158" i="1" s="1"/>
  <c r="C158" i="1"/>
  <c r="F157" i="1"/>
  <c r="J157" i="1" s="1"/>
  <c r="C157" i="1"/>
  <c r="F7" i="1"/>
  <c r="J7" i="1" s="1"/>
  <c r="C7" i="1"/>
  <c r="F6" i="1"/>
  <c r="J6" i="1" s="1"/>
  <c r="C6" i="1"/>
  <c r="F5" i="1"/>
  <c r="J5" i="1" s="1"/>
  <c r="C5" i="1"/>
  <c r="K162" i="1" l="1"/>
  <c r="G159" i="1"/>
  <c r="K159" i="1" s="1"/>
  <c r="O159" i="1" s="1"/>
  <c r="G157" i="1"/>
  <c r="K157" i="1" s="1"/>
  <c r="O157" i="1" s="1"/>
  <c r="J158" i="1"/>
  <c r="K158" i="1" s="1"/>
  <c r="O158" i="1" s="1"/>
  <c r="G6" i="1"/>
  <c r="K6" i="1" s="1"/>
  <c r="G160" i="1"/>
  <c r="K160" i="1" s="1"/>
  <c r="O160" i="1" s="1"/>
  <c r="G7" i="1"/>
  <c r="K7" i="1" s="1"/>
  <c r="G5" i="1"/>
  <c r="K5" i="1" s="1"/>
  <c r="C28" i="2" a="1"/>
  <c r="C28" i="2" s="1"/>
  <c r="C145" i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3" i="1" l="1"/>
  <c r="K153" i="1" s="1"/>
  <c r="N153" i="1" s="1"/>
  <c r="G155" i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 s="1"/>
  <c r="N146" i="1" s="1"/>
  <c r="N149" i="1"/>
  <c r="O149" i="1" s="1"/>
  <c r="N148" i="1"/>
  <c r="O148" i="1" s="1"/>
  <c r="N147" i="1"/>
  <c r="O147" i="1" s="1"/>
  <c r="J145" i="1"/>
  <c r="K145" i="1" s="1"/>
  <c r="N145" i="1" s="1"/>
  <c r="O150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53" i="1" l="1"/>
  <c r="K154" i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<sst xmlns="http://schemas.openxmlformats.org/spreadsheetml/2006/main" count="2856" uniqueCount="629">
  <si>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</si>
  <si>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</si>
  <si>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</si>
  <si>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</si>
  <si>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</si>
  <si>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</si>
  <si>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</si>
  <si>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</si>
  <si>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</si>
  <si>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</si>
  <si>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</si>
  <si>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</si>
  <si>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</si>
  <si>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</si>
  <si>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</si>
  <si>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</si>
  <si>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</si>
  <si>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</si>
  <si>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</si>
  <si>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</si>
  <si>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</si>
  <si>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</si>
  <si>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</si>
  <si>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</si>
  <si>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</si>
  <si>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</si>
  <si>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</si>
  <si>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</si>
  <si>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</si>
  <si>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</si>
  <si>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</si>
  <si>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</si>
  <si>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</si>
  <si>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</si>
  <si>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</si>
  <si>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</si>
  <si>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</si>
  <si>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</si>
  <si>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</si>
  <si>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</si>
  <si>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</si>
  <si>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</si>
  <si>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</si>
  <si>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</si>
  <si>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</si>
  <si>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</si>
  <si>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</si>
  <si>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</si>
  <si>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</si>
  <si>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</si>
  <si>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</si>
  <si>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</si>
  <si>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</si>
  <si>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</si>
  <si>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</si>
  <si>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</si>
  <si>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</si>
  <si>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</si>
  <si>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</si>
  <si>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</si>
  <si>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</si>
  <si>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</si>
  <si>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</si>
  <si>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</si>
  <si>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</si>
  <si>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</si>
  <si>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</si>
  <si>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</si>
  <si>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</si>
  <si>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</si>
  <si>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</si>
  <si>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</si>
  <si>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</si>
  <si>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</si>
  <si>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</si>
  <si>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</si>
  <si>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</si>
  <si>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</si>
  <si>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</si>
  <si>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</si>
  <si>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</si>
  <si>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</si>
  <si>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</si>
  <si>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</si>
  <si>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</si>
  <si>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</si>
  <si>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</si>
  <si>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</si>
  <si>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</si>
  <si>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</si>
  <si>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</si>
  <si>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</si>
  <si>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</si>
  <si>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</si>
  <si>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</si>
  <si>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</si>
  <si>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</si>
  <si>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</si>
  <si>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</si>
  <si>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</si>
  <si>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</si>
  <si>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</si>
  <si>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</si>
  <si>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</si>
  <si>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</si>
  <si>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</si>
  <si>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</si>
  <si>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</si>
  <si>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</si>
  <si>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</si>
  <si>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</si>
  <si>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</si>
  <si>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</si>
  <si>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</si>
  <si>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</si>
  <si>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</si>
  <si>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</si>
  <si>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</si>
  <si>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</si>
  <si>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</si>
  <si>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</si>
  <si>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</si>
  <si>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</si>
  <si>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</si>
  <si>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</si>
  <si>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</si>
  <si>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</si>
  <si>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</si>
  <si>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</si>
  <si>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</si>
  <si>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</si>
  <si>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</si>
  <si>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</si>
  <si>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</si>
  <si>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</si>
  <si>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</si>
  <si>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</si>
  <si>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</si>
  <si>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</si>
  <si>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</si>
  <si>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</si>
  <si>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</si>
  <si>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</si>
  <si>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</si>
  <si>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</si>
  <si>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</si>
  <si>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</si>
  <si>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</si>
  <si>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</si>
  <si>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</si>
  <si>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</si>
  <si>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</si>
  <si>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</si>
  <si>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</si>
  <si>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</si>
  <si>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</si>
  <si>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</si>
  <si>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</si>
  <si>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</si>
  <si>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</si>
  <si>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</si>
  <si>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</si>
  <si>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</si>
  <si>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</si>
  <si>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</si>
  <si>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</si>
  <si>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</si>
  <si>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</si>
  <si>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</si>
  <si>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</si>
  <si>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</si>
  <si>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</si>
  <si>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</si>
  <si>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</si>
  <si>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</si>
  <si>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</si>
  <si>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</si>
  <si>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</si>
  <si>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</si>
  <si>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</si>
  <si>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</si>
  <si>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</si>
  <si>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</si>
  <si>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</si>
  <si>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</si>
  <si>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</si>
  <si>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</si>
  <si>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</si>
  <si>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</si>
  <si>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</si>
  <si>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</si>
  <si>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</si>
  <si>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</si>
  <si>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</si>
  <si>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</si>
  <si>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</si>
  <si>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</si>
  <si>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</si>
  <si>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</si>
  <si>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</si>
  <si>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</si>
  <si>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</si>
  <si>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</si>
  <si>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</si>
  <si>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</si>
  <si>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</si>
  <si>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</si>
  <si>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</si>
  <si>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</si>
  <si>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</si>
  <si>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</si>
  <si>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</si>
  <si>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</si>
  <si>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</si>
  <si>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</si>
  <si>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</si>
  <si>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</si>
  <si>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</si>
  <si>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</si>
  <si>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</si>
  <si>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</si>
  <si>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</si>
  <si>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</si>
  <si>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</si>
  <si>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</si>
  <si>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</si>
  <si>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</si>
  <si>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</si>
  <si>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</si>
  <si>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</si>
  <si>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</si>
  <si>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</si>
  <si>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</si>
  <si>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</si>
  <si>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</si>
  <si>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</si>
  <si>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</si>
  <si>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</si>
  <si>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</si>
  <si>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</si>
  <si>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</si>
  <si>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</si>
  <si>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</si>
  <si>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</si>
  <si>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</si>
  <si>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</si>
  <si>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</si>
  <si>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</si>
  <si>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</si>
  <si>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</si>
  <si>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</si>
  <si>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</si>
  <si>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</si>
  <si>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</si>
  <si>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</si>
  <si>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</si>
  <si>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</si>
  <si>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</si>
  <si>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</si>
  <si>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</si>
  <si>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</si>
  <si>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</si>
  <si>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</si>
  <si>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</si>
  <si>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</si>
  <si>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</si>
  <si>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</si>
  <si>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</si>
  <si>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</si>
  <si>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</si>
  <si>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</si>
  <si>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</si>
  <si>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</si>
  <si>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</si>
  <si>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</si>
  <si>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</si>
  <si>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</si>
  <si>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</si>
  <si>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</si>
  <si>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</si>
  <si>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</si>
  <si>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</si>
  <si>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</si>
  <si>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</si>
  <si>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</si>
  <si>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</si>
  <si>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</si>
  <si>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</si>
  <si>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</si>
  <si>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</si>
  <si>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</si>
  <si>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</si>
  <si>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</si>
  <si>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</si>
  <si>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</si>
  <si>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</si>
  <si>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</si>
  <si>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</si>
  <si>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</si>
  <si>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</si>
  <si>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</si>
  <si>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</si>
  <si>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</si>
  <si>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</si>
  <si>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</si>
  <si>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</si>
  <si>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</si>
  <si>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</si>
  <si>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</si>
  <si>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</si>
  <si>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</si>
  <si>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</si>
  <si>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</si>
  <si>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</si>
  <si>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</si>
  <si>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</si>
  <si>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</si>
  <si>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</si>
  <si>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</si>
  <si>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</si>
  <si>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</si>
  <si>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</si>
  <si>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</si>
  <si>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</si>
  <si>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</si>
  <si>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</si>
  <si>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</si>
  <si>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</si>
  <si>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</si>
  <si>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</si>
  <si>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</si>
  <si>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</si>
  <si>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</si>
  <si>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</si>
  <si>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</si>
  <si>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</si>
  <si>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</si>
  <si>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</si>
  <si>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</si>
  <si>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</si>
  <si>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</si>
  <si>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</si>
  <si>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</si>
  <si>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</si>
  <si>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</si>
  <si>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</si>
  <si>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</si>
  <si>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</si>
  <si>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</si>
  <si>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</si>
  <si>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</si>
  <si>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</si>
  <si>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</si>
  <si>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</si>
  <si>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</si>
  <si>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</si>
  <si>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</si>
  <si>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</si>
  <si>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</si>
  <si>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</si>
  <si>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</si>
  <si>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</si>
  <si>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</si>
  <si>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</si>
  <si>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</si>
  <si>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</si>
  <si>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</si>
  <si>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</si>
  <si>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</si>
  <si>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</si>
  <si>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</si>
  <si>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</si>
  <si>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</si>
  <si>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</si>
  <si>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</si>
  <si>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</si>
  <si>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</si>
  <si>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</si>
  <si>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</si>
  <si>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</si>
  <si>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</si>
  <si>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</si>
  <si>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</si>
  <si>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</si>
  <si>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</si>
  <si>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</si>
  <si>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</si>
  <si>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</si>
  <si>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</si>
  <si>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</si>
  <si>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</si>
  <si>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</si>
  <si>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</si>
  <si>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</si>
  <si>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</si>
  <si>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</si>
  <si>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</si>
  <si>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</si>
  <si>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</si>
  <si>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</si>
  <si>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</si>
  <si>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</si>
  <si>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</si>
  <si>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</si>
  <si>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</si>
  <si>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</si>
  <si>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</si>
  <si>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</si>
  <si>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</si>
  <si>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</si>
  <si>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</si>
  <si>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</si>
  <si>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</si>
  <si>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</si>
  <si>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</si>
  <si>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</si>
  <si>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</si>
  <si>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</si>
  <si>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</si>
  <si>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</si>
  <si>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</si>
  <si>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</si>
  <si>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</si>
  <si>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</si>
  <si>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</si>
  <si>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</si>
  <si>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</si>
  <si>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</si>
  <si>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</si>
  <si>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</si>
  <si>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</si>
  <si>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</si>
  <si>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</si>
  <si>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</si>
  <si>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</si>
  <si>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</si>
  <si>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</si>
  <si>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</si>
  <si>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</si>
  <si>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</si>
  <si>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</si>
  <si>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</si>
  <si>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</si>
  <si>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</si>
  <si>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</si>
  <si>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</si>
  <si>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</si>
  <si>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</si>
  <si>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</si>
  <si>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</si>
  <si>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</si>
  <si>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</si>
  <si>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</si>
  <si>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</si>
  <si>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</si>
  <si>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</si>
  <si>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</si>
  <si>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</si>
  <si>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</si>
  <si>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</si>
  <si>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</si>
  <si>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</si>
  <si>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</si>
  <si>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</si>
  <si>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</si>
  <si>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</si>
  <si>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</si>
  <si>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</si>
  <si>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</si>
  <si>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</si>
  <si>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</si>
  <si>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</si>
  <si>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</si>
  <si>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</si>
  <si>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</si>
  <si>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</si>
  <si>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</si>
  <si>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</si>
  <si>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</si>
  <si>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</si>
  <si>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</si>
  <si>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</si>
  <si>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</si>
  <si>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</si>
  <si>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</si>
  <si>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</si>
  <si>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</si>
  <si>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</si>
  <si>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</si>
  <si>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</si>
  <si>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</si>
  <si>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</si>
  <si>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</si>
  <si>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</si>
  <si>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</si>
  <si>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</si>
  <si>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</si>
  <si>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</si>
  <si>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</si>
  <si>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</si>
  <si>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</si>
  <si>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</si>
  <si>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</si>
  <si>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</si>
  <si>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</si>
  <si>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</si>
  <si>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</si>
  <si>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</si>
  <si>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</si>
  <si>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</si>
  <si>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</si>
  <si>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</si>
  <si>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</si>
  <si>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</si>
  <si>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</si>
  <si>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</si>
  <si>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</si>
  <si>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</si>
  <si>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</si>
  <si>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</si>
  <si>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</si>
  <si>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</si>
  <si>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</si>
  <si>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</si>
  <si>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</si>
  <si>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</si>
  <si>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</si>
  <si>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</si>
  <si>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</si>
  <si>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</si>
  <si>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</si>
  <si>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</si>
  <si>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</si>
  <si>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</si>
  <si>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</si>
  <si>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</si>
  <si>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</si>
  <si>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</si>
  <si>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</si>
  <si>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</si>
  <si>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</si>
  <si>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</si>
  <si>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</si>
  <si>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</si>
  <si>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</si>
  <si>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</si>
  <si>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</si>
  <si>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</si>
  <si>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</si>
  <si>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</si>
  <si>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</si>
  <si>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</si>
  <si>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</si>
  <si>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</si>
  <si>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</si>
  <si>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</si>
  <si>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</si>
  <si>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</si>
  <si>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</si>
  <si>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</si>
  <si>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</si>
  <si>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</si>
  <si>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</si>
  <si>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</si>
  <si>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</si>
  <si>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</si>
  <si>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</si>
  <si>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</si>
  <si>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</si>
  <si>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</si>
  <si>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</si>
  <si>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</si>
  <si>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</si>
  <si>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</si>
  <si>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</si>
  <si>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</si>
  <si>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</si>
  <si>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</si>
  <si>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</si>
  <si>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</si>
  <si>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</si>
  <si>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</si>
  <si>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</si>
  <si>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</si>
  <si>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</si>
  <si>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</si>
  <si>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</si>
  <si>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</si>
  <si>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</si>
  <si>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</si>
  <si>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</si>
  <si>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</si>
  <si>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</si>
  <si>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</si>
  <si>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</si>
  <si>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</si>
  <si>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</si>
  <si>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</si>
  <si>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</si>
  <si>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</si>
  <si>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</si>
  <si>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</si>
  <si>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</si>
  <si>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</si>
  <si>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</si>
  <si>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</si>
  <si>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</si>
  <si>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</si>
  <si>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</si>
  <si>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</si>
  <si>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</si>
  <si>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</si>
  <si>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</si>
  <si>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</si>
  <si>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</si>
  <si>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</si>
  <si>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</si>
  <si>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</si>
  <si>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</si>
  <si>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</si>
  <si>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</si>
  <si>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</si>
  <si>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</si>
  <si>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</si>
  <si>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</si>
  <si>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</si>
  <si>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</si>
  <si>
    <t>UHCH Competitive</t>
  </si>
  <si>
    <t>Thanksgiving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</si>
</sst>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33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5" fillId="0" borderId="0" xfId="1" applyFont="1" applyFill="1" applyBorder="1"/>
    <xf numFmtId="0" fontId="5" fillId="0" borderId="0" xfId="0" applyFont="1"/>
    <xf numFmtId="43" fontId="5" fillId="0" borderId="0" xfId="1" applyFont="1" applyFill="1" applyAlignment="1">
      <alignment horizontal="center"/>
    </xf>
    <xf numFmtId="49" fontId="5" fillId="0" borderId="0" xfId="1" applyNumberFormat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0" applyNumberFormat="1" applyFont="1"/>
    <xf numFmtId="1" fontId="5" fillId="0" borderId="0" xfId="1" applyNumberFormat="1" applyFont="1" applyFill="1"/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43" fontId="15" fillId="0" borderId="0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43" fontId="3" fillId="0" borderId="0" xfId="1" applyFont="1" applyFill="1" applyBorder="1"/>
    <xf numFmtId="0" fontId="3" fillId="0" borderId="15" xfId="0" applyFont="1" applyBorder="1"/>
    <xf numFmtId="0" fontId="3" fillId="5" borderId="13" xfId="0" applyFont="1" applyFill="1" applyBorder="1"/>
    <xf numFmtId="0" fontId="3" fillId="0" borderId="13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0" fontId="3" fillId="0" borderId="14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43" fontId="2" fillId="0" borderId="0" xfId="1" applyFont="1" applyFill="1" applyAlignment="1">
      <alignment horizontal="center"/>
    </xf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0" borderId="0" xfId="1" applyFont="1" applyFill="1" applyBorder="1" applyAlignment="1">
      <alignment horizontal="center"/>
    </xf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  <xf numFmtId="43" fontId="9" fillId="6" borderId="0" xfId="1" applyFont="1" applyFill="1" applyBorder="1"/>
    <xf numFmtId="43" fontId="15" fillId="6" borderId="0" xfId="1" applyFont="1" applyFill="1" applyBorder="1"/>
    <xf numFmtId="43" fontId="15" fillId="6" borderId="0" xfId="1" applyFont="1" applyFill="1"/>
    <xf numFmtId="43" fontId="22" fillId="6" borderId="0" xfId="1" applyFont="1" applyFill="1" applyAlignment="1">
      <alignment horizontal="center"/>
    </xf>
    <xf numFmtId="43" fontId="22" fillId="6" borderId="0" xfId="1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2" totalsRowShown="0" headerRowDxfId="59" dataDxfId="58">
  <autoFilter ref="A1:V162" xr:uid="{0EDF487B-BC6A-43CC-A5E2-F07346E1A4ED}"/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2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0" dataCellStyle="Comma"/>
    <tableColumn id="2" xr3:uid="{A443216B-20E9-4998-AF64-4AF2D830D488}" name="Discount Type 2" dataDxfId="1" dataCellStyle="Comma"/>
    <tableColumn id="6" xr3:uid="{97DC0668-F1BB-4221-B66A-0541EE63F239}" name="Discount Amount 2" dataDxfId="51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50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9" dataCellStyle="Comma"/>
    <tableColumn id="19" xr3:uid="{7FD8661B-3CB2-4419-B4E4-F4B466463008}" name="Discount Type 3" dataDxfId="48" dataCellStyle="Comma"/>
    <tableColumn id="21" xr3:uid="{F690564D-67FB-47A7-BB92-4594973E8684}" name="Discount Amount 3" dataDxfId="47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6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5" dataCellStyle="Comma"/>
    <tableColumn id="10" xr3:uid="{C584D592-9121-42BD-ADD1-A997B12ADB03}" name="paFittingFee" dataDxfId="44" dataCellStyle="Comma"/>
    <tableColumn id="4" xr3:uid="{D4BCCF1D-8129-4502-AE64-888D352A8485}" name="chargerType" dataDxfId="43" dataCellStyle="Comma"/>
    <tableColumn id="5" xr3:uid="{8D61B71A-686D-41F5-A2BF-54F259932C23}" name="chargerPrice" dataDxfId="42" dataCellStyle="Comma"/>
    <tableColumn id="11" xr3:uid="{8C0379A7-F346-4094-953F-A4AB4D0878CB}" name="haReceiverType" dataDxfId="41" dataCellStyle="Comma"/>
    <tableColumn id="9" xr3:uid="{5D6BB6BD-447F-4911-B6E4-986FB62F14A1}" name="haReceiverPrice" dataDxfId="40" dataCellStyle="Comma"/>
    <tableColumn id="12" xr3:uid="{E1863ADB-80F5-499D-B829-43F23A36EF68}" name="haReceiverDiscountDescription" dataDxfId="39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8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7"/>
    <tableColumn id="4" xr3:uid="{AFD2CC34-308A-452C-88C9-7ABCC4C3CBAE}" name="barcode" dataDxfId="36">
      <calculatedColumnFormula>"("&amp;A2&amp;")"</calculatedColumnFormula>
    </tableColumn>
    <tableColumn id="9" xr3:uid="{B8801611-8566-463A-835D-35713DE2FBEA}" name="receiverType" dataDxfId="35"/>
    <tableColumn id="1" xr3:uid="{AD24FFA9-E8B9-4018-8A06-B4494014DBB8}" name="receiverRightDescription2" dataDxfId="34"/>
    <tableColumn id="2" xr3:uid="{2C8BFB26-ADC9-49BF-859D-B9B1DD563DA3}" name="receiverLeftDescription" dataDxfId="33"/>
    <tableColumn id="8" xr3:uid="{DF46FFD8-CF92-4CF1-A0FF-3A3AA14FB6A7}" name="receiverListAmount" dataDxfId="32"/>
    <tableColumn id="5" xr3:uid="{F789C631-ACE4-4877-A193-CFB176AB4CAA}" name="receiverDiscountAmount" dataDxfId="31"/>
    <tableColumn id="6" xr3:uid="{F07C2478-D3D3-4691-BC4C-7E1A65A10250}" name="receiverDiscountDescription" dataDxfId="30"/>
    <tableColumn id="7" xr3:uid="{F77E97F1-5006-4D72-B46E-440B6D66854F}" name="receiverPrice" dataDxfId="2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8" headerRowBorderDxfId="27" tableBorderDxfId="26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5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4"/>
    <tableColumn id="8" xr3:uid="{D7583571-F6BF-4E66-B4FE-1F6C0658D1E4}" name="remoteAmount" dataDxfId="23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22" dataDxfId="20" headerRowBorderDxfId="21" tableBorderDxfId="19">
  <autoFilter ref="A1:H3" xr:uid="{9E35851D-E21C-4957-852B-C619133CF977}"/>
  <tableColumns count="8">
    <tableColumn id="1" xr3:uid="{9C5C5DE5-EA97-4EF1-8892-EBFCAC4443EA}" name="barcodeName" dataDxfId="18"/>
    <tableColumn id="2" xr3:uid="{3987A654-3331-4022-95F5-BEF488FDFD5D}" name="barcode" dataDxfId="17">
      <calculatedColumnFormula>"("&amp;A2&amp;")"</calculatedColumnFormula>
    </tableColumn>
    <tableColumn id="3" xr3:uid="{B575D7DB-8A17-44F2-812F-84D8DF10D3DD}" name="serviceDescription" dataDxfId="16"/>
    <tableColumn id="4" xr3:uid="{1E8BF5D4-6F7F-4C9F-B1C6-A5382AB6523A}" name="serviceDiscountDescription" dataDxfId="15"/>
    <tableColumn id="7" xr3:uid="{A104B7ED-7164-4645-80F4-4FB3B815FA1C}" name="serviceListAmount" dataDxfId="14" dataCellStyle="Comma"/>
    <tableColumn id="5" xr3:uid="{FA21F863-CA81-4450-AB48-77E6CBCB2D99}" name="serviceDiscountAmount" dataDxfId="13" dataCellStyle="Comma"/>
    <tableColumn id="8" xr3:uid="{0C0AAA86-C611-4A7B-8F6A-7547563ECBBB}" name="serviceAmount" dataDxfId="12" dataCellStyle="Comma"/>
    <tableColumn id="6" xr3:uid="{BA455156-79BF-4EC7-BA14-3484B2B4810B}" name="paFittingFee" dataDxfId="11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10">
  <autoFilter ref="A1:G3" xr:uid="{06EED7A3-D2B4-46BC-8F41-FB11FC20F42F}"/>
  <tableColumns count="7">
    <tableColumn id="1" xr3:uid="{EA5C7967-7D68-4146-84DE-1135A119CC3D}" name="barcodeName" dataDxfId="9"/>
    <tableColumn id="2" xr3:uid="{C49A42F5-93EA-4670-959A-42455600C7C8}" name="barcode" dataDxfId="8">
      <calculatedColumnFormula>"("&amp;A2&amp;")"</calculatedColumnFormula>
    </tableColumn>
    <tableColumn id="3" xr3:uid="{2609A236-2D4A-49A0-BD07-CC9B0426F536}" name="accessoryDescription" dataDxfId="7"/>
    <tableColumn id="4" xr3:uid="{9F5155AE-6C5F-4BA4-AD9F-DAE0C8053CCF}" name="accessoryDiscountDescription" dataDxfId="6"/>
    <tableColumn id="6" xr3:uid="{CE967C46-B3C7-4797-BD2D-C5D197F6260B}" name="accessoryListAmount" dataDxfId="5" dataCellStyle="Comma"/>
    <tableColumn id="5" xr3:uid="{CAA4A522-ACE9-4EE8-A795-EFB2F9D3E99B}" name="accessoryDiscountAmount" dataDxfId="4" dataCellStyle="Comma"/>
    <tableColumn id="7" xr3:uid="{C6197BEF-5482-4860-814F-46EEEB1E034B}" name="accessoryAmount" dataDxfId="3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26" t="s">
        <v>499</v>
      </c>
      <c r="C3" s="127"/>
    </row>
    <row r="4" spans="1:8" ht="13.5" thickBot="1">
      <c r="A4" s="74"/>
    </row>
    <row r="5" spans="1:8" ht="13.5" thickBot="1">
      <c r="A5" s="74" t="s">
        <v>0</v>
      </c>
      <c r="B5" s="126">
        <v>2</v>
      </c>
      <c r="C5" s="127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26" t="s">
        <v>597</v>
      </c>
      <c r="C7" s="127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3029</v>
      </c>
      <c r="C13" s="82" t="s">
        <v>412</v>
      </c>
      <c r="D13" s="84" cm="1">
        <f t="array" ref="D13">IF($B$5=1,"",_xlfn.XLOOKUP($B$3&amp;$B$7,haList!A:A&amp;haList!I:I,haList!D:D))</f>
        <v>3029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-829</v>
      </c>
      <c r="C14" s="82" t="s">
        <v>538</v>
      </c>
      <c r="D14" s="68" cm="1">
        <f t="array" ref="D14">IF(B5=1,"",_xlfn.XLOOKUP($B$3,haList!$A:$A,-haList!$F:$F))</f>
        <v>-829</v>
      </c>
      <c r="E14" s="64"/>
      <c r="F14" s="64"/>
    </row>
    <row r="15" spans="1:8" ht="18" customHeight="1">
      <c r="A15" s="82" t="s">
        <v>587</v>
      </c>
      <c r="B15" s="83">
        <f>B13+B14</f>
        <v>2200</v>
      </c>
      <c r="C15" s="82" t="s">
        <v>587</v>
      </c>
      <c r="D15" s="85">
        <f>IF(B5=1,"",D13+D14)</f>
        <v>2200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0</v>
      </c>
      <c r="C16" s="82" t="s">
        <v>588</v>
      </c>
      <c r="D16" s="83" cm="1">
        <f t="array" ref="D16">IF(B5=1,"",_xlfn.XLOOKUP($B$3&amp;$B$7,haList!$A:$A&amp;haList!$I:$I,-haList!$J:$J))</f>
        <v>0</v>
      </c>
      <c r="E16" s="64"/>
      <c r="F16" s="64"/>
    </row>
    <row r="17" spans="1:9" ht="18" customHeight="1">
      <c r="A17" s="82" t="s">
        <v>589</v>
      </c>
      <c r="B17" s="83">
        <f>B15+B16</f>
        <v>2200</v>
      </c>
      <c r="C17" s="82" t="s">
        <v>589</v>
      </c>
      <c r="D17" s="85">
        <f>IF(B5=1,"",D15+D16)</f>
        <v>2200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2200</v>
      </c>
      <c r="C19" s="86" t="s">
        <v>591</v>
      </c>
      <c r="D19" s="88">
        <f>IF(B5=1,"",D17+D18)</f>
        <v>2200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2200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2200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cm="1">
        <f t="array" ref="B25">IF($B$3="","",_xlfn.XLOOKUP($B$3&amp;$B$7,haList!$A:$A&amp;haList!$I:$I,haList!$T:$T))</f>
        <v>0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>
        <f>IF($B$5=1,"",B25)</f>
        <v>0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4650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5050</v>
      </c>
      <c r="D29" s="94"/>
      <c r="E29" s="94"/>
      <c r="F29" s="65"/>
      <c r="H29" s="64"/>
    </row>
    <row r="30" spans="1:9" ht="18" customHeight="1">
      <c r="A30" s="125"/>
      <c r="B30" s="125"/>
      <c r="C30" s="125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5050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505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4545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1" sqref="H11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128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128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7">
        <f>(HearingAids[[#This Row],[haMSRP]]*2)+HearingAids[[#This Row],[chargerPrice]]</f>
        <v>6308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829</v>
      </c>
      <c r="G4" s="39">
        <f>HearingAids[[#This Row],[haMSRP]]-HearingAids[[#This Row],[Discount Amount 1]]</f>
        <v>2200</v>
      </c>
      <c r="H4" s="128">
        <v>4650</v>
      </c>
      <c r="I4" s="70" t="s">
        <v>597</v>
      </c>
      <c r="J4" s="2">
        <v>0</v>
      </c>
      <c r="K4" s="2">
        <f>HearingAids[[#This Row],[HAListPrice]]-HearingAids[[#This Row],[Discount Amount 2]]</f>
        <v>2200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250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129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129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129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128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128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128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128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128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128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128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128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128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128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128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128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128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128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128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128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128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128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128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128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128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128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128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128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128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128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128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130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129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129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129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129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129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129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129">
        <v>9850</v>
      </c>
      <c r="I42" s="114" t="s">
        <v>626</v>
      </c>
      <c r="J42" s="119">
        <f>750</f>
        <v>750</v>
      </c>
      <c r="K42" s="53">
        <f>HearingAids[[#This Row],[HAListPrice]]-HearingAids[[#This Row],[Discount Amount 2]]</f>
        <v>4050</v>
      </c>
      <c r="L42" s="53">
        <f>9350</f>
        <v>9350</v>
      </c>
      <c r="M42" s="72"/>
      <c r="N42" s="53"/>
      <c r="O42" s="55"/>
      <c r="P42" s="52">
        <v>8350</v>
      </c>
      <c r="Q42" s="63">
        <v>1</v>
      </c>
      <c r="R42" s="2" t="s">
        <v>13</v>
      </c>
      <c r="S42" s="2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129">
        <v>8650</v>
      </c>
      <c r="I43" s="114" t="s">
        <v>626</v>
      </c>
      <c r="J43" s="53">
        <f>750</f>
        <v>750</v>
      </c>
      <c r="K43" s="53">
        <f>HearingAids[[#This Row],[HAListPrice]]-HearingAids[[#This Row],[Discount Amount 2]]</f>
        <v>3450</v>
      </c>
      <c r="L43" s="53">
        <f>8150</f>
        <v>8150</v>
      </c>
      <c r="M43" s="72"/>
      <c r="N43" s="53"/>
      <c r="O43" s="55"/>
      <c r="P43" s="52">
        <v>7150</v>
      </c>
      <c r="Q43" s="63">
        <v>1</v>
      </c>
      <c r="R43" s="2" t="s">
        <v>13</v>
      </c>
      <c r="S43" s="2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129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129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129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129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129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129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128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130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129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128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129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129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128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128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128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128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128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128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128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128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128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128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128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128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128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128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128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128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128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128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128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128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128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128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128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128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128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128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128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129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129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129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130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129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129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129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130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129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129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129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130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129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129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129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>
      <c r="A98" s="38" t="s">
        <v>500</v>
      </c>
      <c r="B98" s="47" t="s">
        <v>507</v>
      </c>
      <c r="C98" s="57">
        <f>(HearingAids[[#This Row],[haMSRP]]*2)+HearingAids[[#This Row],[chargerPrice]]</f>
        <v>4878</v>
      </c>
      <c r="D98" s="39">
        <v>2339</v>
      </c>
      <c r="E98" s="52" t="s">
        <v>538</v>
      </c>
      <c r="F98" s="39">
        <f>HearingAids[[#This Row],[haMSRP]]-((HearingAids[[#This Row],[ListPriceBinural]]-HearingAids[[#This Row],[chargerPrice]])/2)</f>
        <v>689</v>
      </c>
      <c r="G98" s="39">
        <f>HearingAids[[#This Row],[haMSRP]]-HearingAids[[#This Row],[Discount Amount 1]]</f>
        <v>1650</v>
      </c>
      <c r="H98" s="130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129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129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129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129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129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129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129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129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129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129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129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129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129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129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129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130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129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129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129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130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129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129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129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129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129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129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130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129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129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129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130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129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129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129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130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129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129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129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130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129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129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129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129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129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129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129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129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129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129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129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129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129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129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129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129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129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129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129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>
      <c r="A157" s="115" t="s">
        <v>500</v>
      </c>
      <c r="B157" s="115" t="s">
        <v>507</v>
      </c>
      <c r="C157" s="116">
        <f>(HearingAids[[#This Row],[haMSRP]]*2)+HearingAids[[#This Row],[chargerPrice]]</f>
        <v>4878</v>
      </c>
      <c r="D157" s="117">
        <v>2339</v>
      </c>
      <c r="E157" s="117" t="s">
        <v>538</v>
      </c>
      <c r="F157" s="117">
        <f>HearingAids[[#This Row],[haMSRP]]-((HearingAids[[#This Row],[ListPriceBinural]]-HearingAids[[#This Row],[chargerPrice]])/2)</f>
        <v>689</v>
      </c>
      <c r="G157" s="117">
        <f>HearingAids[[#This Row],[haMSRP]]-HearingAids[[#This Row],[Discount Amount 1]]</f>
        <v>1650</v>
      </c>
      <c r="H157" s="131">
        <v>3500</v>
      </c>
      <c r="I157" s="118" t="s">
        <v>627</v>
      </c>
      <c r="J157" s="119">
        <f>(HearingAids[[#This Row],[haMSRP]]-HearingAids[[#This Row],[Discount Amount 1]])-(HearingAids[[#This Row],[haNetPriceBinural]]-HearingAids[[#This Row],[chargerPrice]])/2</f>
        <v>55</v>
      </c>
      <c r="K157" s="119">
        <f>HearingAids[[#This Row],[HAListPrice]]-HearingAids[[#This Row],[Discount Amount 2]]</f>
        <v>1595</v>
      </c>
      <c r="L157" s="119">
        <v>3390</v>
      </c>
      <c r="M157" s="119"/>
      <c r="N157" s="119">
        <f>((HearingAids[[#This Row],[haNetPriceBinural]]-HearingAids[[#This Row],[chargerPrice]])/2)-HearingAids[[#This Row],[haNetPriceBinural2]]</f>
        <v>1595</v>
      </c>
      <c r="O157" s="119">
        <f>HearingAids[[#This Row],[haNetPrice]]-HearingAids[[#This Row],[Discount Amount 3]]</f>
        <v>0</v>
      </c>
      <c r="P157" s="117"/>
      <c r="Q157" s="120">
        <v>1</v>
      </c>
      <c r="R157" s="120" t="s">
        <v>9</v>
      </c>
      <c r="S157" s="120">
        <v>200</v>
      </c>
      <c r="T157" s="122" t="s">
        <v>26</v>
      </c>
      <c r="U157" s="122">
        <v>0</v>
      </c>
      <c r="V157" s="117" t="s">
        <v>11</v>
      </c>
      <c r="Y157" s="25"/>
      <c r="Z157" s="25"/>
      <c r="AA157" s="25"/>
      <c r="AB157"/>
      <c r="AC157"/>
      <c r="AD157"/>
      <c r="AE157"/>
    </row>
    <row r="158" spans="1:31" ht="12.75">
      <c r="A158" s="115" t="s">
        <v>413</v>
      </c>
      <c r="B158" s="115" t="s">
        <v>416</v>
      </c>
      <c r="C158" s="116">
        <f>(HearingAids[[#This Row],[haMSRP]]*2)+HearingAids[[#This Row],[chargerPrice]]</f>
        <v>11888</v>
      </c>
      <c r="D158" s="117">
        <v>5819</v>
      </c>
      <c r="E158" s="117" t="s">
        <v>538</v>
      </c>
      <c r="F158" s="117">
        <f>HearingAids[[#This Row],[haMSRP]]-((HearingAids[[#This Row],[ListPriceBinural]]-HearingAids[[#This Row],[chargerPrice]])/2)</f>
        <v>1019</v>
      </c>
      <c r="G158" s="117">
        <f>HearingAids[[#This Row],[haMSRP]]-HearingAids[[#This Row],[Discount Amount 1]]</f>
        <v>4800</v>
      </c>
      <c r="H158" s="132">
        <v>9850</v>
      </c>
      <c r="I158" s="118" t="s">
        <v>627</v>
      </c>
      <c r="J158" s="119">
        <f>(HearingAids[[#This Row],[haMSRP]]-HearingAids[[#This Row],[Discount Amount 1]])-(HearingAids[[#This Row],[haNetPriceBinural]]-HearingAids[[#This Row],[chargerPrice]])/2</f>
        <v>1580</v>
      </c>
      <c r="K158" s="119">
        <f>HearingAids[[#This Row],[HAListPrice]]-HearingAids[[#This Row],[Discount Amount 2]]</f>
        <v>3220</v>
      </c>
      <c r="L158" s="119">
        <v>6690</v>
      </c>
      <c r="M158" s="119"/>
      <c r="N158" s="119">
        <f>((HearingAids[[#This Row],[haNetPriceBinural]]-HearingAids[[#This Row],[chargerPrice]])/2)-HearingAids[[#This Row],[haNetPriceBinural2]]</f>
        <v>3220</v>
      </c>
      <c r="O158" s="119">
        <f>HearingAids[[#This Row],[haNetPrice]]-HearingAids[[#This Row],[Discount Amount 3]]</f>
        <v>0</v>
      </c>
      <c r="P158" s="119"/>
      <c r="Q158" s="121">
        <v>1</v>
      </c>
      <c r="R158" s="121" t="s">
        <v>13</v>
      </c>
      <c r="S158" s="121">
        <v>250</v>
      </c>
      <c r="T158" s="122" t="s">
        <v>14</v>
      </c>
      <c r="U158" s="123">
        <v>0</v>
      </c>
      <c r="V158" s="117" t="s">
        <v>11</v>
      </c>
      <c r="Y158" s="25"/>
      <c r="Z158" s="25"/>
      <c r="AA158" s="25"/>
      <c r="AB158"/>
      <c r="AC158"/>
      <c r="AD158"/>
      <c r="AE158"/>
    </row>
    <row r="159" spans="1:31" ht="12.75">
      <c r="A159" s="115" t="s">
        <v>414</v>
      </c>
      <c r="B159" s="115" t="s">
        <v>417</v>
      </c>
      <c r="C159" s="116">
        <f>(HearingAids[[#This Row],[haMSRP]]*2)+HearingAids[[#This Row],[chargerPrice]]</f>
        <v>7628</v>
      </c>
      <c r="D159" s="117">
        <v>3689</v>
      </c>
      <c r="E159" s="117" t="s">
        <v>538</v>
      </c>
      <c r="F159" s="117">
        <f>HearingAids[[#This Row],[haMSRP]]-((HearingAids[[#This Row],[ListPriceBinural]]-HearingAids[[#This Row],[chargerPrice]])/2)</f>
        <v>219</v>
      </c>
      <c r="G159" s="117">
        <f>HearingAids[[#This Row],[haMSRP]]-HearingAids[[#This Row],[Discount Amount 1]]</f>
        <v>3470</v>
      </c>
      <c r="H159" s="132">
        <v>7190</v>
      </c>
      <c r="I159" s="118" t="s">
        <v>627</v>
      </c>
      <c r="J159" s="119">
        <f>(HearingAids[[#This Row],[haMSRP]]-HearingAids[[#This Row],[Discount Amount 1]])-(HearingAids[[#This Row],[haNetPriceBinural]]-HearingAids[[#This Row],[chargerPrice]])/2</f>
        <v>1150</v>
      </c>
      <c r="K159" s="119">
        <f>HearingAids[[#This Row],[HAListPrice]]-HearingAids[[#This Row],[Discount Amount 2]]</f>
        <v>2320</v>
      </c>
      <c r="L159" s="119">
        <v>4890</v>
      </c>
      <c r="M159" s="119"/>
      <c r="N159" s="119">
        <f>((HearingAids[[#This Row],[haNetPriceBinural]]-HearingAids[[#This Row],[chargerPrice]])/2)-HearingAids[[#This Row],[haNetPriceBinural2]]</f>
        <v>2320</v>
      </c>
      <c r="O159" s="119">
        <f>HearingAids[[#This Row],[haNetPrice]]-HearingAids[[#This Row],[Discount Amount 3]]</f>
        <v>0</v>
      </c>
      <c r="P159" s="119"/>
      <c r="Q159" s="121">
        <v>1</v>
      </c>
      <c r="R159" s="121" t="s">
        <v>13</v>
      </c>
      <c r="S159" s="121">
        <v>250</v>
      </c>
      <c r="T159" s="122" t="s">
        <v>14</v>
      </c>
      <c r="U159" s="123">
        <v>0</v>
      </c>
      <c r="V159" s="117" t="s">
        <v>11</v>
      </c>
      <c r="Y159" s="25"/>
      <c r="Z159" s="25"/>
      <c r="AA159" s="25"/>
      <c r="AB159"/>
      <c r="AC159"/>
      <c r="AD159"/>
      <c r="AE159"/>
    </row>
    <row r="160" spans="1:31" ht="12.75">
      <c r="A160" s="115" t="s">
        <v>415</v>
      </c>
      <c r="B160" s="115" t="s">
        <v>418</v>
      </c>
      <c r="C160" s="116">
        <f>(HearingAids[[#This Row],[haMSRP]]*2)+HearingAids[[#This Row],[chargerPrice]]</f>
        <v>9608</v>
      </c>
      <c r="D160" s="117">
        <v>4679</v>
      </c>
      <c r="E160" s="117" t="s">
        <v>538</v>
      </c>
      <c r="F160" s="117">
        <f>HearingAids[[#This Row],[haMSRP]]-((HearingAids[[#This Row],[ListPriceBinural]]-HearingAids[[#This Row],[chargerPrice]])/2)</f>
        <v>479</v>
      </c>
      <c r="G160" s="117">
        <f>HearingAids[[#This Row],[haMSRP]]-HearingAids[[#This Row],[Discount Amount 1]]</f>
        <v>4200</v>
      </c>
      <c r="H160" s="132">
        <v>8650</v>
      </c>
      <c r="I160" s="118" t="s">
        <v>627</v>
      </c>
      <c r="J160" s="119">
        <f>(HearingAids[[#This Row],[haMSRP]]-HearingAids[[#This Row],[Discount Amount 1]])-(HearingAids[[#This Row],[haNetPriceBinural]]-HearingAids[[#This Row],[chargerPrice]])/2</f>
        <v>1480</v>
      </c>
      <c r="K160" s="119">
        <f>HearingAids[[#This Row],[HAListPrice]]-HearingAids[[#This Row],[Discount Amount 2]]</f>
        <v>2720</v>
      </c>
      <c r="L160" s="119">
        <v>5690</v>
      </c>
      <c r="M160" s="119"/>
      <c r="N160" s="119">
        <f>((HearingAids[[#This Row],[haNetPriceBinural]]-HearingAids[[#This Row],[chargerPrice]])/2)-HearingAids[[#This Row],[haNetPriceBinural2]]</f>
        <v>2720</v>
      </c>
      <c r="O160" s="119">
        <f>HearingAids[[#This Row],[haNetPrice]]-HearingAids[[#This Row],[Discount Amount 3]]</f>
        <v>0</v>
      </c>
      <c r="P160" s="119"/>
      <c r="Q160" s="121">
        <v>1</v>
      </c>
      <c r="R160" s="121" t="s">
        <v>13</v>
      </c>
      <c r="S160" s="121">
        <v>250</v>
      </c>
      <c r="T160" s="122" t="s">
        <v>14</v>
      </c>
      <c r="U160" s="123">
        <v>0</v>
      </c>
      <c r="V160" s="117" t="s">
        <v>11</v>
      </c>
      <c r="Y160" s="25"/>
      <c r="Z160" s="25"/>
      <c r="AA160" s="25"/>
      <c r="AB160"/>
      <c r="AC160"/>
      <c r="AD160"/>
      <c r="AE160"/>
    </row>
    <row r="161" spans="1:31" ht="12.75">
      <c r="A161" s="115" t="s">
        <v>496</v>
      </c>
      <c r="B161" s="115" t="s">
        <v>503</v>
      </c>
      <c r="C161" s="116">
        <f>(HearingAids[[#This Row],[haMSRP]]*2)+HearingAids[[#This Row],[chargerPrice]]</f>
        <v>11888</v>
      </c>
      <c r="D161" s="117">
        <v>5819</v>
      </c>
      <c r="E161" s="117" t="s">
        <v>538</v>
      </c>
      <c r="F161" s="117">
        <f>HearingAids[[#This Row],[haMSRP]]-((HearingAids[[#This Row],[ListPriceBinural]]-HearingAids[[#This Row],[chargerPrice]])/2)</f>
        <v>1019</v>
      </c>
      <c r="G161" s="117">
        <f>HearingAids[[#This Row],[haMSRP]]-HearingAids[[#This Row],[Discount Amount 1]]</f>
        <v>4800</v>
      </c>
      <c r="H161" s="132">
        <v>9850</v>
      </c>
      <c r="I161" s="118" t="s">
        <v>628</v>
      </c>
      <c r="J161" s="119">
        <v>1075</v>
      </c>
      <c r="K161" s="119">
        <f>HearingAids[[#This Row],[HAListPrice]]-HearingAids[[#This Row],[Discount Amount 2]]</f>
        <v>3725</v>
      </c>
      <c r="L161" s="119">
        <v>9350</v>
      </c>
      <c r="M161" s="124"/>
      <c r="N161" s="119"/>
      <c r="O161" s="118"/>
      <c r="P161" s="117">
        <v>7700</v>
      </c>
      <c r="Q161" s="120">
        <v>1</v>
      </c>
      <c r="R161" s="120" t="s">
        <v>13</v>
      </c>
      <c r="S161" s="120">
        <v>250</v>
      </c>
      <c r="T161" s="122" t="s">
        <v>14</v>
      </c>
      <c r="U161" s="122">
        <v>0</v>
      </c>
      <c r="V161" s="117" t="s">
        <v>11</v>
      </c>
      <c r="Y161" s="25"/>
      <c r="Z161" s="25"/>
      <c r="AA161" s="25"/>
      <c r="AB161"/>
      <c r="AC161"/>
      <c r="AD161"/>
      <c r="AE161"/>
    </row>
    <row r="162" spans="1:31" ht="12.75">
      <c r="A162" s="115" t="s">
        <v>497</v>
      </c>
      <c r="B162" s="115" t="s">
        <v>504</v>
      </c>
      <c r="C162" s="116">
        <f>(HearingAids[[#This Row],[haMSRP]]*2)+HearingAids[[#This Row],[chargerPrice]]</f>
        <v>9608</v>
      </c>
      <c r="D162" s="117">
        <v>4679</v>
      </c>
      <c r="E162" s="117" t="s">
        <v>538</v>
      </c>
      <c r="F162" s="117">
        <f>HearingAids[[#This Row],[haMSRP]]-((HearingAids[[#This Row],[ListPriceBinural]]-HearingAids[[#This Row],[chargerPrice]])/2)</f>
        <v>479</v>
      </c>
      <c r="G162" s="117">
        <f>HearingAids[[#This Row],[haMSRP]]-HearingAids[[#This Row],[Discount Amount 1]]</f>
        <v>4200</v>
      </c>
      <c r="H162" s="132">
        <v>8650</v>
      </c>
      <c r="I162" s="118" t="s">
        <v>628</v>
      </c>
      <c r="J162" s="119">
        <v>975</v>
      </c>
      <c r="K162" s="119">
        <f>HearingAids[[#This Row],[HAListPrice]]-HearingAids[[#This Row],[Discount Amount 2]]</f>
        <v>3225</v>
      </c>
      <c r="L162" s="119">
        <v>8150</v>
      </c>
      <c r="M162" s="124"/>
      <c r="N162" s="119"/>
      <c r="O162" s="118"/>
      <c r="P162" s="117">
        <v>6700</v>
      </c>
      <c r="Q162" s="120">
        <v>1</v>
      </c>
      <c r="R162" s="120" t="s">
        <v>13</v>
      </c>
      <c r="S162" s="120">
        <v>250</v>
      </c>
      <c r="T162" s="122" t="s">
        <v>14</v>
      </c>
      <c r="U162" s="122">
        <v>0</v>
      </c>
      <c r="V162" s="117" t="s">
        <v>11</v>
      </c>
      <c r="Y162" s="25"/>
      <c r="Z162" s="25"/>
      <c r="AA162" s="25"/>
      <c r="AB162"/>
      <c r="AC162"/>
      <c r="AD162"/>
      <c r="AE162"/>
    </row>
    <row r="163" spans="1:31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1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1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1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1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1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1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1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1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1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1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1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1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1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Thanksgiving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2025-12-23T20:12:51Z</dcterms:modified>
  <cp:category/>
  <cp:contentStatus/>
</cp:coreProperties>
</file>