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65" documentId="8_{964C585B-190F-46EC-9553-F8D486DF59FA}" xr6:coauthVersionLast="47" xr6:coauthVersionMax="47" xr10:uidLastSave="{B2C984DA-DFAB-4CD0-B30C-2189388F657C}"/>
  <bookViews>
    <workbookView xWindow="-120" yWindow="-120" windowWidth="29040" windowHeight="157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<sst xmlns="http://schemas.openxmlformats.org/spreadsheetml/2006/main" count="2839" uniqueCount="629">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</sst>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9" dataDxfId="58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1" dataCellStyle="Comma"/>
    <tableColumn id="12" xr3:uid="{E1863ADB-80F5-499D-B829-43F23A36EF68}" name="haReceiverDiscountDescription" dataDxfId="0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7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6"/>
    <tableColumn id="4" xr3:uid="{AFD2CC34-308A-452C-88C9-7ABCC4C3CBAE}" name="barcode" dataDxfId="35">
      <calculatedColumnFormula>"("&amp;A2&amp;")"</calculatedColumnFormula>
    </tableColumn>
    <tableColumn id="9" xr3:uid="{B8801611-8566-463A-835D-35713DE2FBEA}" name="receiverType" dataDxfId="34"/>
    <tableColumn id="1" xr3:uid="{AD24FFA9-E8B9-4018-8A06-B4494014DBB8}" name="receiverRightDescription2" dataDxfId="33"/>
    <tableColumn id="2" xr3:uid="{2C8BFB26-ADC9-49BF-859D-B9B1DD563DA3}" name="receiverLeftDescription" dataDxfId="32"/>
    <tableColumn id="8" xr3:uid="{DF46FFD8-CF92-4CF1-A0FF-3A3AA14FB6A7}" name="receiverListAmount" dataDxfId="31"/>
    <tableColumn id="5" xr3:uid="{F789C631-ACE4-4877-A193-CFB176AB4CAA}" name="receiverDiscountAmount" dataDxfId="30"/>
    <tableColumn id="6" xr3:uid="{F07C2478-D3D3-4691-BC4C-7E1A65A10250}" name="receiverDiscountDescription" dataDxfId="29"/>
    <tableColumn id="7" xr3:uid="{F77E97F1-5006-4D72-B46E-440B6D66854F}" name="receiverPrice" dataDxfId="28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7" headerRowBorderDxfId="26" tableBorderDxfId="25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4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3"/>
    <tableColumn id="8" xr3:uid="{D7583571-F6BF-4E66-B4FE-1F6C0658D1E4}" name="remoteAmount" dataDxfId="22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21" dataDxfId="19" headerRowBorderDxfId="20" tableBorderDxfId="18">
  <autoFilter ref="A1:H3" xr:uid="{9E35851D-E21C-4957-852B-C619133CF977}"/>
  <tableColumns count="8">
    <tableColumn id="1" xr3:uid="{9C5C5DE5-EA97-4EF1-8892-EBFCAC4443EA}" name="barcodeName" dataDxfId="17"/>
    <tableColumn id="2" xr3:uid="{3987A654-3331-4022-95F5-BEF488FDFD5D}" name="barcode" dataDxfId="16">
      <calculatedColumnFormula>"("&amp;A2&amp;")"</calculatedColumnFormula>
    </tableColumn>
    <tableColumn id="3" xr3:uid="{B575D7DB-8A17-44F2-812F-84D8DF10D3DD}" name="serviceDescription" dataDxfId="15"/>
    <tableColumn id="4" xr3:uid="{1E8BF5D4-6F7F-4C9F-B1C6-A5382AB6523A}" name="serviceDiscountDescription" dataDxfId="14"/>
    <tableColumn id="7" xr3:uid="{A104B7ED-7164-4645-80F4-4FB3B815FA1C}" name="serviceListAmount" dataDxfId="13" dataCellStyle="Comma"/>
    <tableColumn id="5" xr3:uid="{FA21F863-CA81-4450-AB48-77E6CBCB2D99}" name="serviceDiscountAmount" dataDxfId="12" dataCellStyle="Comma"/>
    <tableColumn id="8" xr3:uid="{0C0AAA86-C611-4A7B-8F6A-7547563ECBBB}" name="serviceAmount" dataDxfId="11" dataCellStyle="Comma"/>
    <tableColumn id="6" xr3:uid="{BA455156-79BF-4EC7-BA14-3484B2B4810B}" name="paFittingFee" dataDxf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9">
  <autoFilter ref="A1:G3" xr:uid="{06EED7A3-D2B4-46BC-8F41-FB11FC20F42F}"/>
  <tableColumns count="7">
    <tableColumn id="1" xr3:uid="{EA5C7967-7D68-4146-84DE-1135A119CC3D}" name="barcodeName" dataDxfId="8"/>
    <tableColumn id="2" xr3:uid="{C49A42F5-93EA-4670-959A-42455600C7C8}" name="barcode" dataDxfId="7">
      <calculatedColumnFormula>"("&amp;A2&amp;")"</calculatedColumnFormula>
    </tableColumn>
    <tableColumn id="3" xr3:uid="{2609A236-2D4A-49A0-BD07-CC9B0426F536}" name="accessoryDescription" dataDxfId="6"/>
    <tableColumn id="4" xr3:uid="{9F5155AE-6C5F-4BA4-AD9F-DAE0C8053CCF}" name="accessoryDiscountDescription" dataDxfId="5"/>
    <tableColumn id="6" xr3:uid="{CE967C46-B3C7-4797-BD2D-C5D197F6260B}" name="accessoryListAmount" dataDxfId="4" dataCellStyle="Comma"/>
    <tableColumn id="5" xr3:uid="{CAA4A522-ACE9-4EE8-A795-EFB2F9D3E99B}" name="accessoryDiscountAmount" dataDxfId="3" dataCellStyle="Comma"/>
    <tableColumn id="7" xr3:uid="{C6197BEF-5482-4860-814F-46EEEB1E034B}" name="accessoryAmount" dataDxfId="2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61" t="s">
        <v>496</v>
      </c>
      <c r="C3" s="162"/>
    </row>
    <row r="4" spans="1:8" ht="13.5" thickBot="1">
      <c r="A4" s="66"/>
    </row>
    <row r="5" spans="1:8" ht="13.5" thickBot="1">
      <c r="A5" s="66" t="s">
        <v>0</v>
      </c>
      <c r="B5" s="161">
        <v>2</v>
      </c>
      <c r="C5" s="16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61" t="s">
        <v>539</v>
      </c>
      <c r="C7" s="16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-500</v>
      </c>
      <c r="C16" s="74" t="s">
        <v>588</v>
      </c>
      <c r="D16" s="75" cm="1">
        <f t="array" ref="D16">IF(B5=1,"",_xlfn.XLOOKUP($B$3&amp;$B$7,haList!$A:$A&amp;haList!$I:$I,-haList!$J:$J))</f>
        <v>-500</v>
      </c>
      <c r="E16" s="57"/>
      <c r="F16" s="57"/>
    </row>
    <row r="17" spans="1:9" ht="18" customHeight="1">
      <c r="A17" s="74" t="s">
        <v>589</v>
      </c>
      <c r="B17" s="75">
        <f>B15+B16</f>
        <v>4062.5</v>
      </c>
      <c r="C17" s="74" t="s">
        <v>589</v>
      </c>
      <c r="D17" s="77">
        <f>IF(B5=1,"",D15+D16)</f>
        <v>4062.5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4062.5</v>
      </c>
      <c r="C19" s="78" t="s">
        <v>591</v>
      </c>
      <c r="D19" s="80">
        <f>IF(B5=1,"",D17+D18)</f>
        <v>4062.5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4062.5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4062.5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8450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8850</v>
      </c>
      <c r="D29" s="86"/>
      <c r="E29" s="86"/>
      <c r="F29" s="58"/>
      <c r="H29" s="57"/>
    </row>
    <row r="30" spans="1:9" ht="18" customHeight="1">
      <c r="A30" s="160"/>
      <c r="B30" s="160"/>
      <c r="C30" s="16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8850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3850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A117" sqref="A117:XFD11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3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4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4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4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4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4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4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4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4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4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4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4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4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3" t="s">
        <v>618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5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4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4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4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4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4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4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619</v>
      </c>
      <c r="B43" s="3" t="s">
        <v>620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621</v>
      </c>
      <c r="B44" s="3" t="s">
        <v>622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3" t="s">
        <v>624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4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4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4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4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4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4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4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4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4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4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4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5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4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4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4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4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4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4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4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4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4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4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619</v>
      </c>
      <c r="B91" s="3" t="s">
        <v>620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3" t="s">
        <v>618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3" t="s">
        <v>622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621</v>
      </c>
      <c r="B94" s="3" t="s">
        <v>624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5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4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4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4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5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4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4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4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5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4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4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4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6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4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4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4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4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4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4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4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4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4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4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4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4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619</v>
      </c>
      <c r="B123" s="3" t="s">
        <v>620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621</v>
      </c>
      <c r="B124" s="3" t="s">
        <v>622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3" t="s">
        <v>624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5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4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4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4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5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4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4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4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5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5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619</v>
      </c>
      <c r="B137" s="3" t="s">
        <v>620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621</v>
      </c>
      <c r="B138" s="3" t="s">
        <v>622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7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8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8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8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8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9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8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8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8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625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70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625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70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625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70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625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70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71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72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72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72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5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4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4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4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2026-02-09T20:34:48Z</dcterms:modified>
  <cp:category/>
  <cp:contentStatus/>
</cp:coreProperties>
</file>