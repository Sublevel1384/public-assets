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02" documentId="8_{964C585B-190F-46EC-9553-F8D486DF59FA}" xr6:coauthVersionLast="47" xr6:coauthVersionMax="47" xr10:uidLastSave="{48EE504E-632A-4CE8-9CD8-663BFEB2D256}"/>
  <bookViews>
    <workbookView xWindow="28680" yWindow="-120" windowWidth="29040" windowHeight="15720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" i="1" l="1"/>
  <c r="J7" i="1" s="1"/>
  <c r="C7" i="1"/>
  <c r="G6" i="1"/>
  <c r="F6" i="1"/>
  <c r="J6" i="1" s="1"/>
  <c r="K6" i="1" s="1"/>
  <c r="C6" i="1"/>
  <c r="F5" i="1"/>
  <c r="J5" i="1" s="1"/>
  <c r="C5" i="1"/>
  <c r="G7" i="1" l="1"/>
  <c r="K7" i="1" s="1"/>
  <c r="G5" i="1"/>
  <c r="K5" i="1" s="1"/>
  <c r="C28" i="2" a="1"/>
  <c r="C28" i="2" s="1"/>
  <c r="C145" i="1"/>
  <c r="G153" i="1"/>
  <c r="K153" i="1" s="1"/>
  <c r="N153" i="1" s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5" i="1" l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/>
  <c r="N146" i="1" s="1"/>
  <c r="N149" i="1"/>
  <c r="O149" i="1"/>
  <c r="N148" i="1"/>
  <c r="O148" i="1" s="1"/>
  <c r="N147" i="1"/>
  <c r="O147" i="1"/>
  <c r="J145" i="1"/>
  <c r="K145" i="1" s="1"/>
  <c r="N145" i="1" s="1"/>
  <c r="O150" i="1"/>
  <c r="O153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54" i="1" l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<sst xmlns="http://schemas.openxmlformats.org/spreadsheetml/2006/main" count="2814" uniqueCount="627">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</sst>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1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18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4" fillId="0" borderId="0" xfId="1" applyFont="1" applyFill="1" applyBorder="1"/>
    <xf numFmtId="0" fontId="4" fillId="0" borderId="0" xfId="0" applyFont="1"/>
    <xf numFmtId="43" fontId="4" fillId="0" borderId="0" xfId="1" applyFont="1" applyFill="1" applyAlignment="1">
      <alignment horizontal="center"/>
    </xf>
    <xf numFmtId="49" fontId="4" fillId="0" borderId="0" xfId="1" applyNumberFormat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4" fillId="0" borderId="0" xfId="0" applyNumberFormat="1" applyFont="1"/>
    <xf numFmtId="1" fontId="4" fillId="0" borderId="0" xfId="1" applyNumberFormat="1" applyFont="1" applyFill="1"/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43" fontId="14" fillId="0" borderId="0" xfId="1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43" fontId="2" fillId="0" borderId="0" xfId="1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43" fontId="1" fillId="0" borderId="0" xfId="1" applyFont="1" applyFill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6" totalsRowShown="0" headerRowDxfId="59" dataDxfId="58">
  <autoFilter ref="A1:V156" xr:uid="{0EDF487B-BC6A-43CC-A5E2-F07346E1A4ED}"/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abSelected="1" workbookViewId="0">
      <selection activeCell="B7" sqref="B7:C7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16" t="s">
        <v>497</v>
      </c>
      <c r="C3" s="117"/>
    </row>
    <row r="4" spans="1:8" ht="13.5" thickBot="1">
      <c r="A4" s="74"/>
    </row>
    <row r="5" spans="1:8" ht="13.5" thickBot="1">
      <c r="A5" s="74" t="s">
        <v>0</v>
      </c>
      <c r="B5" s="116">
        <v>2</v>
      </c>
      <c r="C5" s="117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16" t="s">
        <v>626</v>
      </c>
      <c r="C7" s="117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4679</v>
      </c>
      <c r="C13" s="82" t="s">
        <v>412</v>
      </c>
      <c r="D13" s="84" cm="1">
        <f t="array" ref="D13">IF($B$5=1,"",_xlfn.XLOOKUP($B$3&amp;$B$7,haList!A:A&amp;haList!I:I,haList!D:D))</f>
        <v>4679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-479</v>
      </c>
      <c r="C14" s="82" t="s">
        <v>538</v>
      </c>
      <c r="D14" s="68" cm="1">
        <f t="array" ref="D14">IF(B5=1,"",_xlfn.XLOOKUP($B$3,haList!$A:$A,-haList!$F:$F))</f>
        <v>-479</v>
      </c>
      <c r="E14" s="64"/>
      <c r="F14" s="64"/>
    </row>
    <row r="15" spans="1:8" ht="18" customHeight="1">
      <c r="A15" s="82" t="s">
        <v>587</v>
      </c>
      <c r="B15" s="83">
        <f>B13+B14</f>
        <v>4200</v>
      </c>
      <c r="C15" s="82" t="s">
        <v>587</v>
      </c>
      <c r="D15" s="85">
        <f>IF(B5=1,"",D13+D14)</f>
        <v>4200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-750</v>
      </c>
      <c r="C16" s="82" t="s">
        <v>588</v>
      </c>
      <c r="D16" s="83" cm="1">
        <f t="array" ref="D16">IF(B5=1,"",_xlfn.XLOOKUP($B$3&amp;$B$7,haList!$A:$A&amp;haList!$I:$I,-haList!$J:$J))</f>
        <v>-750</v>
      </c>
      <c r="E16" s="64"/>
      <c r="F16" s="64"/>
    </row>
    <row r="17" spans="1:9" ht="18" customHeight="1">
      <c r="A17" s="82" t="s">
        <v>589</v>
      </c>
      <c r="B17" s="83">
        <f>B15+B16</f>
        <v>3450</v>
      </c>
      <c r="C17" s="82" t="s">
        <v>589</v>
      </c>
      <c r="D17" s="85">
        <f>IF(B5=1,"",D15+D16)</f>
        <v>3450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3450</v>
      </c>
      <c r="C19" s="86" t="s">
        <v>591</v>
      </c>
      <c r="D19" s="88">
        <f>IF(B5=1,"",D17+D18)</f>
        <v>3450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3450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3450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t="str" cm="1">
        <f t="array" ref="B25">IF($B$3="","",_xlfn.XLOOKUP($B$3&amp;$B$7,haList!$A:$A&amp;haList!$I:$I,haList!$T:$T))</f>
        <v>SureFit3 or M@RIE Receiver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 t="str">
        <f>IF($B$5=1,"",B25)</f>
        <v>SureFit3 or M@RIE Receiver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7150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7550</v>
      </c>
      <c r="D29" s="94"/>
      <c r="E29" s="94"/>
      <c r="F29" s="65"/>
      <c r="H29" s="64"/>
    </row>
    <row r="30" spans="1:9" ht="18" customHeight="1">
      <c r="A30" s="115"/>
      <c r="B30" s="115"/>
      <c r="C30" s="115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7550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2550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6" sqref="I6:I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7">
        <f>(HearingAids[[#This Row],[haMSRP]]*2)+HearingAids[[#This Row],[chargerPrice]]</f>
        <v>6258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4650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9</v>
      </c>
      <c r="S4" s="40">
        <v>200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>
      <c r="A98" s="38" t="s">
        <v>500</v>
      </c>
      <c r="B98" s="47" t="s">
        <v>507</v>
      </c>
      <c r="C98" s="57">
        <f>(HearingAids[[#This Row],[haMSRP]]*2)+HearingAids[[#This Row],[chargerPrice]]</f>
        <v>4890</v>
      </c>
      <c r="D98" s="22">
        <v>2345</v>
      </c>
      <c r="E98" s="52" t="s">
        <v>538</v>
      </c>
      <c r="F98" s="39">
        <f>HearingAids[[#This Row],[haMSRP]]-((HearingAids[[#This Row],[ListPriceBinural]]-HearingAids[[#This Row],[chargerPrice]])/2)</f>
        <v>695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>
      <c r="A157" s="3"/>
      <c r="B157" s="3"/>
      <c r="C157" s="3"/>
      <c r="I157" s="8"/>
      <c r="J157" s="8"/>
      <c r="K157" s="8"/>
      <c r="L157" s="2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8"/>
    </row>
    <row r="158" spans="1:31" ht="12.75">
      <c r="A158" s="3"/>
      <c r="B158" s="3"/>
      <c r="C158" s="3"/>
      <c r="I158" s="8"/>
      <c r="J158" s="8"/>
      <c r="K158" s="8"/>
      <c r="L158" s="2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L159" s="2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8"/>
    </row>
    <row r="160" spans="1:31" ht="12.75">
      <c r="A160" s="3"/>
      <c r="B160" s="3"/>
      <c r="C160" s="3"/>
      <c r="I160" s="8"/>
      <c r="J160" s="8"/>
      <c r="K160" s="8"/>
      <c r="L160" s="2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8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0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Tri-Care</v>
      </c>
    </row>
    <row r="18" spans="1:2">
      <c r="A18" t="str">
        <v>Beltone BTE Digital Rely 4 76DW</v>
      </c>
      <c r="B18" t="str">
        <v>TruHearing Competitive</v>
      </c>
    </row>
    <row r="19" spans="1:2">
      <c r="A19" t="str">
        <v>Beltone BTE Digital Rely 4 86DWH</v>
      </c>
      <c r="B19" t="str">
        <v>Veterans Discount</v>
      </c>
    </row>
    <row r="20" spans="1:2">
      <c r="A20" t="str">
        <v>Beltone BTE Digital Rely 4 95DW</v>
      </c>
      <c r="B20" t="str">
        <v>WellCare Competitive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2025-11-11T16:04:24Z</dcterms:modified>
  <cp:category/>
  <cp:contentStatus/>
</cp:coreProperties>
</file>