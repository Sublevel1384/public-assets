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66" documentId="8_{964C585B-190F-46EC-9553-F8D486DF59FA}" xr6:coauthVersionLast="47" xr6:coauthVersionMax="47" xr10:uidLastSave="{1C17E882-7771-4BF5-8966-9410F93B36B4}"/>
  <bookViews>
    <workbookView xWindow="-12810" yWindow="1608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J24" i="1" s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26" i="2" s="1"/>
  <c r="D15" i="2" l="1"/>
  <c r="D17" i="2" s="1"/>
  <c r="D19" i="2" s="1"/>
  <c r="C23" i="2" s="1"/>
  <c r="B15" i="2"/>
  <c r="B17" i="2" s="1"/>
  <c r="B19" i="2" s="1"/>
  <c r="C22" i="2" s="1"/>
  <c r="C25" i="2" a="1"/>
  <c r="C24" i="2" a="1"/>
  <c r="C26" i="2" s="1"/>
  <c r="C27" i="2" s="1"/>
  <c r="C29" i="2" s="1"/>
  <c r="C33" i="2" s="1"/>
  <c r="C34" i="2" l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<sst xmlns="http://schemas.openxmlformats.org/spreadsheetml/2006/main" count="2371" uniqueCount="570">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</sst>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7" borderId="0" xfId="0" applyFont="1" applyFill="1"/>
    <xf numFmtId="43" fontId="1" fillId="7" borderId="0" xfId="0" applyNumberFormat="1" applyFont="1" applyFill="1"/>
    <xf numFmtId="43" fontId="11" fillId="7" borderId="19" xfId="3" applyNumberFormat="1" applyFill="1"/>
    <xf numFmtId="43" fontId="1" fillId="7" borderId="0" xfId="1" applyFont="1" applyFill="1"/>
    <xf numFmtId="43" fontId="1" fillId="7" borderId="0" xfId="1" applyFont="1" applyFill="1" applyAlignment="1">
      <alignment horizontal="center"/>
    </xf>
    <xf numFmtId="43" fontId="1" fillId="7" borderId="0" xfId="1" applyFont="1" applyFill="1" applyBorder="1"/>
    <xf numFmtId="43" fontId="11" fillId="7" borderId="19" xfId="3" applyNumberFormat="1" applyFill="1" applyAlignment="1">
      <alignment horizontal="center"/>
    </xf>
    <xf numFmtId="1" fontId="1" fillId="7" borderId="0" xfId="1" applyNumberFormat="1" applyFont="1" applyFill="1" applyBorder="1"/>
    <xf numFmtId="49" fontId="1" fillId="7" borderId="0" xfId="1" applyNumberFormat="1" applyFont="1" applyFill="1"/>
    <xf numFmtId="49" fontId="1" fillId="7" borderId="0" xfId="1" applyNumberFormat="1" applyFont="1" applyFill="1" applyBorder="1"/>
    <xf numFmtId="0" fontId="0" fillId="7" borderId="0" xfId="0" applyFill="1"/>
    <xf numFmtId="43" fontId="0" fillId="7" borderId="0" xfId="1" applyFont="1" applyFill="1"/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7" customWidth="1"/>
    <col min="2" max="2" width="16.5703125" style="27" customWidth="1"/>
    <col min="3" max="3" width="22" style="27" customWidth="1"/>
    <col min="4" max="5" width="19.28515625" style="27" customWidth="1"/>
    <col min="6" max="6" width="38.28515625" style="27" bestFit="1" customWidth="1"/>
    <col min="7" max="7" width="18.140625" style="27" customWidth="1"/>
    <col min="8" max="16384" width="9.140625" style="27"/>
  </cols>
  <sheetData>
    <row r="2" spans="1:8" ht="13.5" thickBot="1">
      <c r="A2" s="41"/>
      <c r="B2" s="41"/>
      <c r="C2" s="41"/>
      <c r="D2" s="41"/>
      <c r="E2" s="41"/>
      <c r="F2" s="41"/>
      <c r="G2" s="41"/>
      <c r="H2" s="41"/>
    </row>
    <row r="3" spans="1:8" ht="13.5" thickBot="1">
      <c r="A3" s="54" t="s">
        <v>0</v>
      </c>
      <c r="B3" s="101" t="s">
        <v>1</v>
      </c>
      <c r="C3" s="102"/>
      <c r="D3" s="41"/>
      <c r="E3" s="41"/>
      <c r="F3" s="41"/>
      <c r="G3" s="41"/>
      <c r="H3" s="41"/>
    </row>
    <row r="4" spans="1:8" ht="13.5" thickBot="1">
      <c r="A4" s="54"/>
      <c r="B4" s="41"/>
      <c r="C4" s="41"/>
      <c r="D4" s="41"/>
      <c r="E4" s="41"/>
      <c r="F4" s="41"/>
      <c r="G4" s="41"/>
      <c r="H4" s="41"/>
    </row>
    <row r="5" spans="1:8" ht="13.5" thickBot="1">
      <c r="A5" s="54" t="s">
        <v>2</v>
      </c>
      <c r="B5" s="101">
        <v>2</v>
      </c>
      <c r="C5" s="102"/>
      <c r="D5" s="41"/>
      <c r="E5" s="41"/>
      <c r="F5" s="41"/>
      <c r="G5" s="41"/>
      <c r="H5" s="41"/>
    </row>
    <row r="6" spans="1:8" ht="13.5" thickBot="1">
      <c r="A6" s="54"/>
      <c r="B6" s="41"/>
      <c r="C6" s="41"/>
      <c r="D6" s="41"/>
      <c r="E6" s="41"/>
      <c r="F6" s="41"/>
      <c r="G6" s="28"/>
      <c r="H6" s="29"/>
    </row>
    <row r="7" spans="1:8" ht="13.5" thickBot="1">
      <c r="A7" s="54" t="s">
        <v>3</v>
      </c>
      <c r="B7" s="101" t="s">
        <v>4</v>
      </c>
      <c r="C7" s="102"/>
      <c r="D7" s="41"/>
      <c r="E7" s="41"/>
      <c r="F7" s="41"/>
      <c r="G7" s="41"/>
      <c r="H7" s="41"/>
    </row>
    <row r="8" spans="1:8">
      <c r="A8" s="54"/>
      <c r="B8" s="41"/>
      <c r="C8" s="41"/>
      <c r="D8" s="41"/>
      <c r="E8" s="41"/>
      <c r="F8" s="41"/>
      <c r="G8" s="41"/>
      <c r="H8" s="41"/>
    </row>
    <row r="10" spans="1:8">
      <c r="A10" s="55" t="s">
        <v>5</v>
      </c>
      <c r="B10" s="56"/>
      <c r="C10" s="56"/>
      <c r="D10" s="56"/>
      <c r="E10" s="56"/>
      <c r="F10" s="56"/>
      <c r="G10" s="55"/>
      <c r="H10" s="41"/>
    </row>
    <row r="11" spans="1:8" ht="13.5" thickBot="1">
      <c r="A11" s="56"/>
      <c r="B11" s="56"/>
      <c r="C11" s="56"/>
      <c r="D11" s="56"/>
      <c r="E11" s="56"/>
      <c r="F11" s="56"/>
      <c r="G11" s="55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7" cm="1">
        <f t="array" ref="B13">IF($B$3="","",_xlfn.XLOOKUP($B$3&amp;$B$7,haList!A:A&amp;haList!I:I,haList!D:D))</f>
        <v>5579</v>
      </c>
      <c r="C13" s="33" t="s">
        <v>9</v>
      </c>
      <c r="D13" s="58" cm="1">
        <f t="array" ref="D13">IF($B$5=1,"",_xlfn.XLOOKUP($B$3&amp;$B$7,haList!A:A&amp;haList!I:I,haList!D:D))</f>
        <v>5579</v>
      </c>
      <c r="E13" s="41"/>
      <c r="F13" s="59"/>
      <c r="G13" s="41"/>
      <c r="H13" s="41"/>
    </row>
    <row r="14" spans="1:8" ht="18" customHeight="1">
      <c r="A14" s="33" t="s">
        <v>10</v>
      </c>
      <c r="B14" s="60" cm="1">
        <f t="array" ref="B14">_xlfn.XLOOKUP($B$3,haList!$A:$A,-haList!$F:$F)</f>
        <v>162.5</v>
      </c>
      <c r="C14" s="33" t="s">
        <v>10</v>
      </c>
      <c r="D14" s="60" cm="1">
        <f t="array" ref="D14">IF(B5=1,"",_xlfn.XLOOKUP($B$3,haList!$A:$A,-haList!$F:$F))</f>
        <v>162.5</v>
      </c>
      <c r="E14" s="59"/>
      <c r="F14" s="59"/>
      <c r="G14" s="41"/>
      <c r="H14" s="41"/>
    </row>
    <row r="15" spans="1:8" ht="18" customHeight="1">
      <c r="A15" s="33" t="s">
        <v>11</v>
      </c>
      <c r="B15" s="57">
        <f>B13+B14</f>
        <v>5741.5</v>
      </c>
      <c r="C15" s="33" t="s">
        <v>11</v>
      </c>
      <c r="D15" s="61">
        <f>IF(B5=1,"",D13+D14)</f>
        <v>5741.5</v>
      </c>
      <c r="E15" s="59"/>
      <c r="F15" s="59"/>
      <c r="G15" s="41"/>
      <c r="H15" s="41"/>
    </row>
    <row r="16" spans="1:8" ht="18" customHeight="1">
      <c r="A16" s="33" t="s">
        <v>12</v>
      </c>
      <c r="B16" s="57" cm="1">
        <f t="array" ref="B16">_xlfn.XLOOKUP($B$3&amp;$B$7,haList!$A:$A&amp;haList!$I:$I,-haList!$J:$J)</f>
        <v>-3405</v>
      </c>
      <c r="C16" s="33" t="s">
        <v>12</v>
      </c>
      <c r="D16" s="57" cm="1">
        <f t="array" ref="D16">IF(B5=1,"",_xlfn.XLOOKUP($B$3&amp;$B$7,haList!$A:$A&amp;haList!$I:$I,-haList!$J:$J))</f>
        <v>-3405</v>
      </c>
      <c r="E16" s="59"/>
      <c r="F16" s="59"/>
      <c r="G16" s="41"/>
      <c r="H16" s="41"/>
    </row>
    <row r="17" spans="1:9" ht="18" customHeight="1">
      <c r="A17" s="33" t="s">
        <v>13</v>
      </c>
      <c r="B17" s="57">
        <f>B15+B16</f>
        <v>2336.5</v>
      </c>
      <c r="C17" s="33" t="s">
        <v>13</v>
      </c>
      <c r="D17" s="61">
        <f>IF(B5=1,"",D15+D16)</f>
        <v>2336.5</v>
      </c>
      <c r="E17" s="59"/>
      <c r="F17" s="59"/>
      <c r="G17" s="41"/>
      <c r="H17" s="41"/>
      <c r="I17" s="41"/>
    </row>
    <row r="18" spans="1:9" ht="18" customHeight="1">
      <c r="A18" s="33" t="s">
        <v>14</v>
      </c>
      <c r="B18" s="57" cm="1">
        <f t="array" ref="B18">IF($B$7="Open House Special",_xlfn.XLOOKUP($B$3&amp;"Marketing Offer",haList!$A:$A&amp;haList!$M:$M,-haList!$N:$N),0)</f>
        <v>0</v>
      </c>
      <c r="C18" s="33" t="s">
        <v>14</v>
      </c>
      <c r="D18" s="57" cm="1">
        <f t="array" ref="D18">IF(B5=1,"",IF($B$7="Open House Special",_xlfn.XLOOKUP($B$3&amp;"Marketing Offer",haList!$A:$A&amp;haList!$M:$M,-haList!$N:$N),0))</f>
        <v>0</v>
      </c>
      <c r="E18" s="59"/>
      <c r="F18" s="59"/>
      <c r="G18" s="41"/>
      <c r="H18" s="41"/>
      <c r="I18" s="41"/>
    </row>
    <row r="19" spans="1:9" ht="18" customHeight="1" thickBot="1">
      <c r="A19" s="34" t="s">
        <v>15</v>
      </c>
      <c r="B19" s="62">
        <f>B17+B18</f>
        <v>2336.5</v>
      </c>
      <c r="C19" s="34" t="s">
        <v>15</v>
      </c>
      <c r="D19" s="63">
        <f>IF(B5=1,"",D17+D18)</f>
        <v>2336.5</v>
      </c>
      <c r="E19" s="59"/>
      <c r="F19" s="59"/>
      <c r="G19" s="41"/>
      <c r="H19" s="41"/>
      <c r="I19" s="41"/>
    </row>
    <row r="20" spans="1:9" ht="18" customHeight="1">
      <c r="A20" s="41"/>
      <c r="B20" s="41"/>
      <c r="C20" s="41"/>
      <c r="D20" s="64"/>
      <c r="E20" s="59"/>
      <c r="F20" s="59"/>
      <c r="G20" s="41"/>
      <c r="H20" s="41"/>
      <c r="I20" s="41"/>
    </row>
    <row r="21" spans="1:9" ht="18" customHeight="1">
      <c r="A21" s="41"/>
      <c r="B21" s="41"/>
      <c r="C21" s="41"/>
      <c r="D21" s="64"/>
      <c r="E21" s="59"/>
      <c r="F21" s="59"/>
      <c r="G21" s="41"/>
      <c r="H21" s="41"/>
      <c r="I21" s="41"/>
    </row>
    <row r="22" spans="1:9" ht="18" customHeight="1">
      <c r="A22" s="41"/>
      <c r="B22" s="54" t="s">
        <v>16</v>
      </c>
      <c r="C22" s="42">
        <f>B19</f>
        <v>2336.5</v>
      </c>
      <c r="D22" s="64"/>
      <c r="E22" s="59"/>
      <c r="F22" s="59"/>
      <c r="G22" s="41"/>
      <c r="H22" s="41"/>
      <c r="I22" s="41"/>
    </row>
    <row r="23" spans="1:9" ht="18" customHeight="1">
      <c r="A23" s="41"/>
      <c r="B23" s="54" t="str">
        <f>IF($B$5=1,"",B22)</f>
        <v>Hearing Aid 1</v>
      </c>
      <c r="C23" s="65">
        <f>IF(B5=2,D19,0)</f>
        <v>2336.5</v>
      </c>
      <c r="D23" s="64"/>
      <c r="E23" s="59"/>
      <c r="F23" s="59"/>
      <c r="G23" s="41"/>
      <c r="H23" s="41"/>
      <c r="I23" s="41"/>
    </row>
    <row r="24" spans="1:9" ht="18" customHeight="1">
      <c r="A24" s="41"/>
      <c r="B24" s="54" t="str" cm="1">
        <f t="array" ref="B24">IF($B$3="","",_xlfn.XLOOKUP($B$3&amp;$B$7,haList!$A:$A&amp;haList!$I:$I,haList!$R:$R))</f>
        <v>Standard Charger</v>
      </c>
      <c r="C24" s="59" cm="1">
        <f t="array" ref="C24">IF($B$24="","",_xlfn.XLOOKUP($B$3&amp;$B$7,haList!$A:$A&amp;haList!$I:$I,haList!$S:$S))</f>
        <v>325</v>
      </c>
      <c r="D24" s="41"/>
      <c r="E24" s="59"/>
      <c r="F24" s="59"/>
      <c r="G24" s="41"/>
      <c r="H24" s="41"/>
      <c r="I24" s="42"/>
    </row>
    <row r="25" spans="1:9" ht="18" customHeight="1">
      <c r="A25" s="41"/>
      <c r="B25" s="54" t="str" cm="1">
        <f t="array" ref="B25">IF($B$3="","",_xlfn.XLOOKUP($B$3&amp;$B$7,haList!$A:$A&amp;haList!$I:$I,haList!$T:$T))</f>
        <v>SureFit3 or M@RIE Receiver</v>
      </c>
      <c r="C25" s="59" cm="1">
        <f t="array" ref="C25">IF($B$24="","",_xlfn.XLOOKUP($B$3&amp;$B$7,haList!$A:$A&amp;haList!$I:$I,haList!$U:$U))</f>
        <v>0</v>
      </c>
      <c r="D25" s="66"/>
      <c r="E25" s="41"/>
      <c r="F25" s="59"/>
      <c r="G25" s="41"/>
      <c r="H25" s="41"/>
      <c r="I25" s="42"/>
    </row>
    <row r="26" spans="1:9" ht="18" customHeight="1">
      <c r="A26" s="41"/>
      <c r="B26" s="54" t="str">
        <f>IF($B$5=1,"",B25)</f>
        <v>SureFit3 or M@RIE Receiver</v>
      </c>
      <c r="C26" s="59">
        <f>IF(B5=2,C25,0)</f>
        <v>0</v>
      </c>
      <c r="D26" s="66"/>
      <c r="E26" s="41"/>
      <c r="F26" s="59"/>
      <c r="G26" s="41"/>
      <c r="H26" s="41"/>
      <c r="I26" s="41"/>
    </row>
    <row r="27" spans="1:9" ht="18" customHeight="1">
      <c r="A27" s="41"/>
      <c r="B27" s="54" t="s">
        <v>17</v>
      </c>
      <c r="C27" s="42">
        <f>C22+C23+C24+C25+C26</f>
        <v>4998</v>
      </c>
      <c r="D27" s="54"/>
      <c r="E27" s="54"/>
      <c r="F27" s="59"/>
      <c r="G27" s="41"/>
      <c r="H27" s="41"/>
      <c r="I27" s="41"/>
    </row>
    <row r="28" spans="1:9" ht="18" customHeight="1">
      <c r="A28" s="41"/>
      <c r="B28" s="54" t="str" cm="1">
        <f t="array" ref="B28">IF($B$3="","",IF(_xlfn.XLOOKUP($B$3&amp;$B$7,haList!$A:$A&amp;haList!$I:$I,haList!$Q:$Q)=1,"PA Fitting Fee","(do not charge a PA Fitting Fee)"))</f>
        <v>PA Fitting Fee</v>
      </c>
      <c r="C28" s="67" cm="1">
        <f t="array" ref="C28">IF($B$3="","",IF(_xlfn.XLOOKUP($B$3&amp;$B$7,haList!$A:$A&amp;haList!$I:$I,haList!$Q:$Q)=1,400,""))</f>
        <v>400</v>
      </c>
      <c r="D28" s="54"/>
      <c r="E28" s="54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59"/>
      <c r="I29" s="41"/>
    </row>
    <row r="30" spans="1:9" ht="18" customHeight="1">
      <c r="A30" s="100"/>
      <c r="B30" s="100"/>
      <c r="C30" s="100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8"/>
      <c r="B33" s="69" t="s">
        <v>20</v>
      </c>
      <c r="C33" s="59">
        <f>C29</f>
        <v>5398</v>
      </c>
      <c r="D33" s="41"/>
      <c r="E33" s="41"/>
      <c r="F33" s="41"/>
    </row>
    <row r="34" spans="1:6" ht="18" customHeight="1" thickBot="1">
      <c r="A34" s="35"/>
      <c r="B34" s="5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9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9"/>
      <c r="E34" s="41"/>
      <c r="F34" s="59"/>
    </row>
    <row r="35" spans="1:6" ht="18" customHeight="1" thickBot="1">
      <c r="A35" s="54"/>
      <c r="B35" s="5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C11" activePane="bottomRight" state="frozen"/>
      <selection pane="topRight" activeCell="B1" sqref="B1"/>
      <selection pane="bottomLeft" activeCell="A2" sqref="A2"/>
      <selection pane="bottomRight" activeCell="A35" sqref="A35:XFD35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39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5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8" t="s">
        <v>42</v>
      </c>
      <c r="Y1" s="15"/>
      <c r="Z1" s="15"/>
      <c r="AA1" s="15"/>
      <c r="AB1"/>
      <c r="AC1"/>
      <c r="AD1"/>
      <c r="AE1"/>
    </row>
    <row r="2" spans="1:31" ht="15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7">
        <v>5939</v>
      </c>
      <c r="E2" s="44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7">
        <v>9650</v>
      </c>
      <c r="I2" s="75" t="s">
        <v>80</v>
      </c>
      <c r="J2" s="44">
        <f>(HearingAids7[[#This Row],[haMSRP]]-HearingAids7[[#This Row],[Discount Amount 1]])-(HearingAids7[[#This Row],[haNetPriceBinural]]-HearingAids7[[#This Row],[chargerPrice]])/2</f>
        <v>500</v>
      </c>
      <c r="K2" s="44">
        <f>HearingAids7[[#This Row],[HAListPrice]]-HearingAids7[[#This Row],[Discount Amount 2]]</f>
        <v>4212.5</v>
      </c>
      <c r="L2" s="97">
        <v>8650</v>
      </c>
      <c r="M2" s="44"/>
      <c r="N2" s="44"/>
      <c r="O2" s="44"/>
      <c r="P2" s="44"/>
      <c r="Q2" s="45">
        <v>1</v>
      </c>
      <c r="R2" s="70" t="s">
        <v>49</v>
      </c>
      <c r="S2" s="71">
        <v>225</v>
      </c>
      <c r="T2" s="47" t="s">
        <v>55</v>
      </c>
      <c r="U2" s="47">
        <v>0</v>
      </c>
      <c r="V2" s="47" t="s">
        <v>56</v>
      </c>
      <c r="Y2" s="15"/>
      <c r="Z2" s="15"/>
      <c r="AA2" s="15"/>
      <c r="AB2"/>
      <c r="AC2"/>
      <c r="AD2"/>
      <c r="AE2"/>
    </row>
    <row r="3" spans="1:31" ht="15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7">
        <v>5939</v>
      </c>
      <c r="E3" s="44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7">
        <v>9650</v>
      </c>
      <c r="I3" s="75" t="s">
        <v>83</v>
      </c>
      <c r="J3" s="44">
        <f>((HearingAids7[[#This Row],[haMSRP]]-HearingAids7[[#This Row],[Discount Amount 1]])-(HearingAids7[[#This Row],[haNetPriceBinural]]-HearingAids7[[#This Row],[chargerPrice]])/2)</f>
        <v>1025</v>
      </c>
      <c r="K3" s="44">
        <f>HearingAids7[[#This Row],[HAListPrice]]-HearingAids7[[#This Row],[Discount Amount 2]]</f>
        <v>3687.5</v>
      </c>
      <c r="L3" s="97">
        <v>7600</v>
      </c>
      <c r="M3" s="75"/>
      <c r="N3" s="44"/>
      <c r="O3" s="75"/>
      <c r="P3" s="44"/>
      <c r="Q3" s="45">
        <v>1</v>
      </c>
      <c r="R3" s="70" t="s">
        <v>49</v>
      </c>
      <c r="S3" s="71">
        <v>225</v>
      </c>
      <c r="T3" s="47" t="s">
        <v>55</v>
      </c>
      <c r="U3" s="47">
        <v>0</v>
      </c>
      <c r="V3" s="47" t="s">
        <v>56</v>
      </c>
      <c r="Y3" s="15"/>
      <c r="Z3" s="15"/>
      <c r="AA3" s="15"/>
      <c r="AB3"/>
      <c r="AC3"/>
      <c r="AD3"/>
      <c r="AE3"/>
    </row>
    <row r="4" spans="1:31" ht="15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7">
        <v>3149</v>
      </c>
      <c r="E4" s="44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7">
        <v>5350</v>
      </c>
      <c r="I4" s="75" t="s">
        <v>45</v>
      </c>
      <c r="J4" s="44">
        <f>(HearingAids7[[#This Row],[haMSRP]]-HearingAids7[[#This Row],[Discount Amount 1]])-(HearingAids7[[#This Row],[haNetPriceBinural]]-HearingAids7[[#This Row],[chargerPrice]])/2</f>
        <v>0</v>
      </c>
      <c r="K4" s="44">
        <f>HearingAids7[[#This Row],[HAListPrice]]-HearingAids7[[#This Row],[Discount Amount 2]]</f>
        <v>2562.5</v>
      </c>
      <c r="L4" s="98">
        <f>HearingAids7[[#This Row],[ListPriceBinural]]</f>
        <v>5350</v>
      </c>
      <c r="M4" s="44"/>
      <c r="N4" s="44"/>
      <c r="O4" s="44"/>
      <c r="P4" s="44"/>
      <c r="Q4" s="45">
        <v>1</v>
      </c>
      <c r="R4" s="70" t="s">
        <v>49</v>
      </c>
      <c r="S4" s="71">
        <v>225</v>
      </c>
      <c r="T4" s="47"/>
      <c r="U4" s="47"/>
      <c r="V4" s="47"/>
      <c r="W4" s="44"/>
      <c r="Y4" s="15"/>
      <c r="Z4" s="15"/>
      <c r="AA4" s="15"/>
      <c r="AB4"/>
      <c r="AC4"/>
      <c r="AD4"/>
      <c r="AE4"/>
    </row>
    <row r="5" spans="1:31" ht="15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7">
        <v>3839</v>
      </c>
      <c r="E5" s="44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7">
        <v>7450</v>
      </c>
      <c r="I5" s="75" t="s">
        <v>80</v>
      </c>
      <c r="J5" s="44">
        <f>(HearingAids7[[#This Row],[haMSRP]]-HearingAids7[[#This Row],[Discount Amount 1]])-(HearingAids7[[#This Row],[haNetPriceBinural]]-HearingAids7[[#This Row],[chargerPrice]])/2</f>
        <v>500</v>
      </c>
      <c r="K5" s="44">
        <f>HearingAids7[[#This Row],[HAListPrice]]-HearingAids7[[#This Row],[Discount Amount 2]]</f>
        <v>3112.5</v>
      </c>
      <c r="L5" s="98">
        <f>HearingAids7[[#This Row],[ListPriceBinural]]-1000</f>
        <v>6450</v>
      </c>
      <c r="M5" s="44"/>
      <c r="N5" s="44"/>
      <c r="O5" s="44"/>
      <c r="P5" s="44"/>
      <c r="Q5" s="45">
        <v>1</v>
      </c>
      <c r="R5" s="70" t="s">
        <v>49</v>
      </c>
      <c r="S5" s="71">
        <v>225</v>
      </c>
      <c r="T5" s="47" t="s">
        <v>55</v>
      </c>
      <c r="U5" s="47">
        <v>0</v>
      </c>
      <c r="V5" s="47" t="s">
        <v>56</v>
      </c>
      <c r="Y5" s="15"/>
      <c r="Z5" s="15"/>
      <c r="AA5" s="15"/>
      <c r="AB5"/>
      <c r="AC5"/>
      <c r="AD5"/>
      <c r="AE5"/>
    </row>
    <row r="6" spans="1:31" ht="15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7">
        <v>3839</v>
      </c>
      <c r="E6" s="44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7">
        <v>7450</v>
      </c>
      <c r="I6" s="75" t="s">
        <v>83</v>
      </c>
      <c r="J6" s="44">
        <f>((HearingAids7[[#This Row],[haMSRP]]-HearingAids7[[#This Row],[Discount Amount 1]])-(HearingAids7[[#This Row],[haNetPriceBinural]]-HearingAids7[[#This Row],[chargerPrice]])/2)</f>
        <v>525</v>
      </c>
      <c r="K6" s="44">
        <f>HearingAids7[[#This Row],[HAListPrice]]-HearingAids7[[#This Row],[Discount Amount 2]]</f>
        <v>3087.5</v>
      </c>
      <c r="L6" s="98">
        <v>6400</v>
      </c>
      <c r="M6" s="75"/>
      <c r="N6" s="44"/>
      <c r="O6" s="75"/>
      <c r="P6" s="44"/>
      <c r="Q6" s="45">
        <v>1</v>
      </c>
      <c r="R6" s="70" t="s">
        <v>49</v>
      </c>
      <c r="S6" s="71">
        <v>225</v>
      </c>
      <c r="T6" s="47" t="s">
        <v>55</v>
      </c>
      <c r="U6" s="47">
        <v>0</v>
      </c>
      <c r="V6" s="47" t="s">
        <v>56</v>
      </c>
      <c r="Y6" s="15"/>
      <c r="Z6" s="15"/>
      <c r="AA6" s="15"/>
      <c r="AB6"/>
      <c r="AC6"/>
      <c r="AD6"/>
      <c r="AE6"/>
    </row>
    <row r="7" spans="1:31" ht="15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7">
        <v>5039</v>
      </c>
      <c r="E7" s="44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7">
        <v>8550</v>
      </c>
      <c r="I7" s="75" t="s">
        <v>80</v>
      </c>
      <c r="J7" s="44">
        <f>(HearingAids7[[#This Row],[haMSRP]]-HearingAids7[[#This Row],[Discount Amount 1]])-(HearingAids7[[#This Row],[haNetPriceBinural]]-HearingAids7[[#This Row],[chargerPrice]])/2</f>
        <v>500</v>
      </c>
      <c r="K7" s="44">
        <f>HearingAids7[[#This Row],[HAListPrice]]-HearingAids7[[#This Row],[Discount Amount 2]]</f>
        <v>3662.5</v>
      </c>
      <c r="L7" s="98">
        <f>HearingAids7[[#This Row],[ListPriceBinural]]-1000</f>
        <v>7550</v>
      </c>
      <c r="M7" s="44"/>
      <c r="N7" s="44"/>
      <c r="O7" s="44"/>
      <c r="P7" s="44"/>
      <c r="Q7" s="45">
        <v>1</v>
      </c>
      <c r="R7" s="70" t="s">
        <v>49</v>
      </c>
      <c r="S7" s="71">
        <v>225</v>
      </c>
      <c r="T7" s="47" t="s">
        <v>55</v>
      </c>
      <c r="U7" s="47">
        <v>0</v>
      </c>
      <c r="V7" s="47" t="s">
        <v>56</v>
      </c>
      <c r="Y7" s="15"/>
      <c r="Z7" s="15"/>
      <c r="AA7" s="15"/>
      <c r="AB7"/>
      <c r="AC7"/>
      <c r="AD7"/>
      <c r="AE7"/>
    </row>
    <row r="8" spans="1:31" ht="15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7">
        <v>5039</v>
      </c>
      <c r="E8" s="44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7">
        <v>8550</v>
      </c>
      <c r="I8" s="75" t="s">
        <v>83</v>
      </c>
      <c r="J8" s="44">
        <f>((HearingAids7[[#This Row],[haMSRP]]-HearingAids7[[#This Row],[Discount Amount 1]])-(HearingAids7[[#This Row],[haNetPriceBinural]]-HearingAids7[[#This Row],[chargerPrice]])/2)</f>
        <v>625</v>
      </c>
      <c r="K8" s="44">
        <f>HearingAids7[[#This Row],[HAListPrice]]-HearingAids7[[#This Row],[Discount Amount 2]]</f>
        <v>3537.5</v>
      </c>
      <c r="L8" s="98">
        <v>7300</v>
      </c>
      <c r="M8" s="75"/>
      <c r="N8" s="44"/>
      <c r="O8" s="75"/>
      <c r="P8" s="44"/>
      <c r="Q8" s="45">
        <v>1</v>
      </c>
      <c r="R8" s="70" t="s">
        <v>49</v>
      </c>
      <c r="S8" s="71">
        <v>225</v>
      </c>
      <c r="T8" s="47" t="s">
        <v>55</v>
      </c>
      <c r="U8" s="47">
        <v>0</v>
      </c>
      <c r="V8" s="47" t="s">
        <v>56</v>
      </c>
      <c r="W8" s="4"/>
      <c r="Y8" s="15"/>
      <c r="Z8" s="15"/>
      <c r="AA8" s="15"/>
      <c r="AB8" s="14"/>
      <c r="AC8" s="14"/>
      <c r="AD8"/>
      <c r="AE8"/>
    </row>
    <row r="9" spans="1:31" ht="15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7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7">
        <v>3100</v>
      </c>
      <c r="I9" s="53" t="s">
        <v>45</v>
      </c>
      <c r="J9" s="44">
        <v>0</v>
      </c>
      <c r="K9" s="44">
        <f>HearingAids7[[#This Row],[HAListPrice]]-HearingAids7[[#This Row],[Discount Amount 2]]</f>
        <v>1550</v>
      </c>
      <c r="L9" s="97"/>
      <c r="M9" s="44"/>
      <c r="N9" s="44"/>
      <c r="O9" s="44"/>
      <c r="P9" s="44"/>
      <c r="Q9" s="45">
        <v>1</v>
      </c>
      <c r="R9" s="44" t="s">
        <v>46</v>
      </c>
      <c r="S9" s="44">
        <v>0</v>
      </c>
      <c r="T9" s="47"/>
      <c r="U9" s="47"/>
      <c r="V9" s="46"/>
      <c r="Y9" s="15"/>
      <c r="Z9" s="15"/>
      <c r="AA9" s="15"/>
      <c r="AB9"/>
      <c r="AC9"/>
      <c r="AD9"/>
      <c r="AE9"/>
    </row>
    <row r="10" spans="1:31" ht="15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7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7">
        <v>3100</v>
      </c>
      <c r="I10" s="53" t="s">
        <v>75</v>
      </c>
      <c r="J10" s="44">
        <f>(HearingAids7[[#This Row],[haMSRP]]-HearingAids7[[#This Row],[Discount Amount 1]])-(HearingAids7[[#This Row],[haNetPriceBinural]]-HearingAids7[[#This Row],[chargerPrice]])/2</f>
        <v>0</v>
      </c>
      <c r="K10" s="44">
        <f>HearingAids7[[#This Row],[HAListPrice]]-HearingAids7[[#This Row],[Discount Amount 2]]</f>
        <v>1550</v>
      </c>
      <c r="L10" s="97">
        <v>3100</v>
      </c>
      <c r="M10" s="44"/>
      <c r="N10" s="44"/>
      <c r="O10" s="44"/>
      <c r="P10" s="44"/>
      <c r="Q10" s="45">
        <v>1</v>
      </c>
      <c r="R10" s="44" t="s">
        <v>46</v>
      </c>
      <c r="S10" s="44">
        <v>0</v>
      </c>
      <c r="T10" s="46" t="s">
        <v>55</v>
      </c>
      <c r="U10" s="47">
        <v>0</v>
      </c>
      <c r="V10" s="46" t="s">
        <v>56</v>
      </c>
      <c r="Y10" s="15"/>
      <c r="Z10" s="15"/>
      <c r="AA10" s="15"/>
      <c r="AB10"/>
      <c r="AC10"/>
      <c r="AD10"/>
      <c r="AE10"/>
    </row>
    <row r="11" spans="1:31" ht="15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7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7">
        <v>3990</v>
      </c>
      <c r="I11" s="53" t="s">
        <v>64</v>
      </c>
      <c r="J11" s="44">
        <f>(HearingAids7[[#This Row],[haMSRP]]-HearingAids7[[#This Row],[Discount Amount 1]])-(HearingAids7[[#This Row],[haNetPriceBinural]]-HearingAids7[[#This Row],[chargerPrice]])/2</f>
        <v>300</v>
      </c>
      <c r="K11" s="44">
        <f>HearingAids7[[#This Row],[HAListPrice]]-HearingAids7[[#This Row],[Discount Amount 2]]</f>
        <v>1582.5</v>
      </c>
      <c r="L11" s="97">
        <v>3390</v>
      </c>
      <c r="M11" s="44"/>
      <c r="N11" s="44"/>
      <c r="O11" s="44"/>
      <c r="P11" s="71"/>
      <c r="Q11" s="72">
        <v>1</v>
      </c>
      <c r="R11" s="73" t="s">
        <v>49</v>
      </c>
      <c r="S11" s="71">
        <v>225</v>
      </c>
      <c r="T11" s="74" t="s">
        <v>61</v>
      </c>
      <c r="U11" s="15">
        <v>0</v>
      </c>
      <c r="V11" s="50" t="s">
        <v>56</v>
      </c>
      <c r="Y11" s="15"/>
      <c r="Z11" s="15"/>
      <c r="AA11" s="15"/>
      <c r="AB11"/>
      <c r="AC11"/>
      <c r="AD11"/>
      <c r="AE11"/>
    </row>
    <row r="12" spans="1:31" ht="15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7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7">
        <v>3990</v>
      </c>
      <c r="I12" s="53" t="s">
        <v>45</v>
      </c>
      <c r="J12" s="44">
        <v>0</v>
      </c>
      <c r="K12" s="44">
        <f>HearingAids7[[#This Row],[HAListPrice]]-HearingAids7[[#This Row],[Discount Amount 2]]</f>
        <v>1882.5</v>
      </c>
      <c r="L12" s="97">
        <v>3990</v>
      </c>
      <c r="M12" s="44"/>
      <c r="N12" s="44"/>
      <c r="O12" s="44"/>
      <c r="P12" s="44"/>
      <c r="Q12" s="45">
        <v>1</v>
      </c>
      <c r="R12" s="70" t="s">
        <v>49</v>
      </c>
      <c r="S12" s="44">
        <v>225</v>
      </c>
      <c r="T12" s="74" t="s">
        <v>61</v>
      </c>
      <c r="U12" s="15">
        <v>0</v>
      </c>
      <c r="V12" s="50" t="s">
        <v>56</v>
      </c>
      <c r="Y12" s="15"/>
      <c r="Z12" s="15"/>
      <c r="AA12" s="15"/>
      <c r="AB12"/>
      <c r="AC12"/>
      <c r="AD12"/>
      <c r="AE12"/>
    </row>
    <row r="13" spans="1:31" ht="15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7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7">
        <v>3990</v>
      </c>
      <c r="I13" s="53" t="s">
        <v>79</v>
      </c>
      <c r="J13" s="44">
        <f>(HearingAids7[[#This Row],[haMSRP]]-HearingAids7[[#This Row],[Discount Amount 1]])-(HearingAids7[[#This Row],[haNetPriceBinural]]-HearingAids7[[#This Row],[chargerPrice]])/2</f>
        <v>300</v>
      </c>
      <c r="K13" s="44">
        <f>HearingAids7[[#This Row],[HAListPrice]]-HearingAids7[[#This Row],[Discount Amount 2]]</f>
        <v>1582.5</v>
      </c>
      <c r="L13" s="97">
        <v>3390</v>
      </c>
      <c r="M13" s="44"/>
      <c r="N13" s="44"/>
      <c r="O13" s="44"/>
      <c r="P13" s="71"/>
      <c r="Q13" s="45">
        <v>1</v>
      </c>
      <c r="R13" s="70" t="s">
        <v>49</v>
      </c>
      <c r="S13" s="71">
        <v>225</v>
      </c>
      <c r="T13" s="47" t="s">
        <v>61</v>
      </c>
      <c r="U13" s="15">
        <v>0</v>
      </c>
      <c r="V13" s="46" t="s">
        <v>56</v>
      </c>
      <c r="Y13" s="15"/>
      <c r="Z13" s="15"/>
      <c r="AA13" s="15"/>
      <c r="AB13"/>
      <c r="AC13"/>
      <c r="AD13"/>
      <c r="AE13"/>
    </row>
    <row r="14" spans="1:31" ht="15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7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7">
        <v>3990</v>
      </c>
      <c r="I14" s="53" t="s">
        <v>76</v>
      </c>
      <c r="J14" s="44">
        <f>(HearingAids7[[#This Row],[haMSRP]]-HearingAids7[[#This Row],[Discount Amount 1]])-(HearingAids7[[#This Row],[haNetPriceBinural]]-HearingAids7[[#This Row],[chargerPrice]])/2</f>
        <v>300</v>
      </c>
      <c r="K14" s="44">
        <f>HearingAids7[[#This Row],[HAListPrice]]-HearingAids7[[#This Row],[Discount Amount 2]]</f>
        <v>1582.5</v>
      </c>
      <c r="L14" s="97">
        <v>3390</v>
      </c>
      <c r="M14" s="44"/>
      <c r="N14" s="44"/>
      <c r="O14" s="44"/>
      <c r="P14" s="71"/>
      <c r="Q14" s="72">
        <v>1</v>
      </c>
      <c r="R14" s="73" t="s">
        <v>49</v>
      </c>
      <c r="S14" s="71">
        <v>225</v>
      </c>
      <c r="T14" s="74" t="s">
        <v>61</v>
      </c>
      <c r="U14" s="15">
        <v>0</v>
      </c>
      <c r="V14" s="50" t="s">
        <v>56</v>
      </c>
      <c r="Y14" s="15"/>
      <c r="Z14" s="15"/>
      <c r="AA14" s="15"/>
      <c r="AB14"/>
      <c r="AC14"/>
      <c r="AD14"/>
      <c r="AE14"/>
    </row>
    <row r="15" spans="1:31" ht="15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7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7">
        <v>3990</v>
      </c>
      <c r="I15" s="53" t="s">
        <v>77</v>
      </c>
      <c r="J15" s="44">
        <f>(HearingAids7[[#This Row],[haMSRP]]-HearingAids7[[#This Row],[Discount Amount 1]])-(HearingAids7[[#This Row],[haNetPriceBinural]]-HearingAids7[[#This Row],[chargerPrice]])/2</f>
        <v>300</v>
      </c>
      <c r="K15" s="44">
        <f>HearingAids7[[#This Row],[HAListPrice]]-HearingAids7[[#This Row],[Discount Amount 2]]</f>
        <v>1582.5</v>
      </c>
      <c r="L15" s="97">
        <v>3390</v>
      </c>
      <c r="M15" s="44"/>
      <c r="N15" s="44"/>
      <c r="O15" s="44"/>
      <c r="P15" s="71"/>
      <c r="Q15" s="72">
        <v>1</v>
      </c>
      <c r="R15" s="73" t="s">
        <v>49</v>
      </c>
      <c r="S15" s="71">
        <v>225</v>
      </c>
      <c r="T15" s="74" t="s">
        <v>61</v>
      </c>
      <c r="U15" s="15">
        <v>0</v>
      </c>
      <c r="V15" s="50" t="s">
        <v>56</v>
      </c>
      <c r="Y15" s="15"/>
      <c r="Z15" s="15"/>
      <c r="AA15" s="15"/>
      <c r="AB15"/>
      <c r="AC15"/>
      <c r="AD15"/>
      <c r="AE15"/>
    </row>
    <row r="16" spans="1:31" ht="15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7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7">
        <v>3990</v>
      </c>
      <c r="I16" s="53" t="s">
        <v>78</v>
      </c>
      <c r="J16" s="44">
        <f>(HearingAids7[[#This Row],[haMSRP]]-HearingAids7[[#This Row],[Discount Amount 1]])-(HearingAids7[[#This Row],[haNetPriceBinural]]-HearingAids7[[#This Row],[chargerPrice]])/2</f>
        <v>300</v>
      </c>
      <c r="K16" s="44">
        <f>HearingAids7[[#This Row],[HAListPrice]]-HearingAids7[[#This Row],[Discount Amount 2]]</f>
        <v>1582.5</v>
      </c>
      <c r="L16" s="97">
        <v>3390</v>
      </c>
      <c r="M16" s="44"/>
      <c r="N16" s="44"/>
      <c r="O16" s="44"/>
      <c r="P16" s="71"/>
      <c r="Q16" s="72">
        <v>1</v>
      </c>
      <c r="R16" s="73" t="s">
        <v>49</v>
      </c>
      <c r="S16" s="71">
        <v>225</v>
      </c>
      <c r="T16" s="74" t="s">
        <v>61</v>
      </c>
      <c r="U16" s="15">
        <v>0</v>
      </c>
      <c r="V16" s="50" t="s">
        <v>56</v>
      </c>
      <c r="Y16" s="15"/>
      <c r="Z16" s="15"/>
      <c r="AA16" s="15"/>
      <c r="AB16"/>
      <c r="AC16"/>
      <c r="AD16"/>
      <c r="AE16"/>
    </row>
    <row r="17" spans="1:31" ht="15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7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7">
        <v>3990</v>
      </c>
      <c r="I17" s="53" t="s">
        <v>81</v>
      </c>
      <c r="J17" s="44">
        <f>(HearingAids7[[#This Row],[haMSRP]]-HearingAids7[[#This Row],[Discount Amount 1]])-(HearingAids7[[#This Row],[haNetPriceBinural]]-HearingAids7[[#This Row],[chargerPrice]])/2</f>
        <v>300</v>
      </c>
      <c r="K17" s="44">
        <f>HearingAids7[[#This Row],[HAListPrice]]-HearingAids7[[#This Row],[Discount Amount 2]]</f>
        <v>1582.5</v>
      </c>
      <c r="L17" s="97">
        <v>3390</v>
      </c>
      <c r="M17" s="44"/>
      <c r="N17" s="44"/>
      <c r="O17" s="44"/>
      <c r="P17" s="71"/>
      <c r="Q17" s="72">
        <v>1</v>
      </c>
      <c r="R17" s="73" t="s">
        <v>49</v>
      </c>
      <c r="S17" s="71">
        <v>225</v>
      </c>
      <c r="T17" s="74" t="s">
        <v>61</v>
      </c>
      <c r="U17" s="15">
        <v>0</v>
      </c>
      <c r="V17" s="50" t="s">
        <v>56</v>
      </c>
      <c r="W17" s="4"/>
      <c r="Y17" s="15"/>
      <c r="Z17" s="15"/>
      <c r="AA17" s="15"/>
      <c r="AB17"/>
      <c r="AC17"/>
      <c r="AD17"/>
      <c r="AE17"/>
    </row>
    <row r="18" spans="1:31" ht="15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7">
        <v>2459</v>
      </c>
      <c r="E18" s="44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7">
        <v>3990</v>
      </c>
      <c r="I18" s="53" t="s">
        <v>82</v>
      </c>
      <c r="J18" s="44">
        <f>(HearingAids7[[#This Row],[haMSRP]]-HearingAids7[[#This Row],[Discount Amount 1]])-(HearingAids7[[#This Row],[haNetPriceBinural]]-HearingAids7[[#This Row],[chargerPrice]])/2</f>
        <v>300</v>
      </c>
      <c r="K18" s="44">
        <f>HearingAids7[[#This Row],[HAListPrice]]-HearingAids7[[#This Row],[Discount Amount 2]]</f>
        <v>1582.5</v>
      </c>
      <c r="L18" s="97">
        <v>3390</v>
      </c>
      <c r="M18" s="44"/>
      <c r="N18" s="44"/>
      <c r="O18" s="44"/>
      <c r="P18" s="90"/>
      <c r="Q18" s="91">
        <v>1</v>
      </c>
      <c r="R18" s="92" t="s">
        <v>49</v>
      </c>
      <c r="S18" s="71">
        <v>225</v>
      </c>
      <c r="T18" s="93" t="s">
        <v>61</v>
      </c>
      <c r="U18" s="20">
        <v>0</v>
      </c>
      <c r="V18" s="95" t="s">
        <v>56</v>
      </c>
      <c r="Y18" s="15"/>
      <c r="Z18" s="15"/>
      <c r="AA18" s="15"/>
      <c r="AB18"/>
      <c r="AC18"/>
      <c r="AD18"/>
      <c r="AE18"/>
    </row>
    <row r="19" spans="1:31" ht="15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7">
        <v>2459</v>
      </c>
      <c r="E19" s="44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7">
        <v>3990</v>
      </c>
      <c r="I19" s="53" t="s">
        <v>85</v>
      </c>
      <c r="J19" s="44">
        <f>(HearingAids7[[#This Row],[haMSRP]]-HearingAids7[[#This Row],[Discount Amount 1]])-(HearingAids7[[#This Row],[haNetPriceBinural]]-HearingAids7[[#This Row],[chargerPrice]])/2</f>
        <v>300</v>
      </c>
      <c r="K19" s="44">
        <f>HearingAids7[[#This Row],[HAListPrice]]-HearingAids7[[#This Row],[Discount Amount 2]]</f>
        <v>1582.5</v>
      </c>
      <c r="L19" s="97">
        <v>3390</v>
      </c>
      <c r="M19" s="44"/>
      <c r="N19" s="44"/>
      <c r="O19" s="44"/>
      <c r="P19" s="90"/>
      <c r="Q19" s="91">
        <v>1</v>
      </c>
      <c r="R19" s="92" t="s">
        <v>49</v>
      </c>
      <c r="S19" s="90">
        <v>225</v>
      </c>
      <c r="T19" s="93" t="s">
        <v>61</v>
      </c>
      <c r="U19" s="20">
        <v>0</v>
      </c>
      <c r="V19" s="95" t="s">
        <v>56</v>
      </c>
      <c r="Y19" s="15"/>
      <c r="Z19" s="15"/>
      <c r="AA19" s="15"/>
      <c r="AB19"/>
      <c r="AC19"/>
      <c r="AD19"/>
      <c r="AE19"/>
    </row>
    <row r="20" spans="1:31" ht="15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7">
        <v>2459</v>
      </c>
      <c r="E20" s="44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7">
        <v>3990</v>
      </c>
      <c r="I20" s="53" t="s">
        <v>84</v>
      </c>
      <c r="J20" s="44">
        <f>(HearingAids7[[#This Row],[haMSRP]]-HearingAids7[[#This Row],[Discount Amount 1]])-(HearingAids7[[#This Row],[haNetPriceBinural]]-HearingAids7[[#This Row],[chargerPrice]])/2</f>
        <v>300</v>
      </c>
      <c r="K20" s="44">
        <f>HearingAids7[[#This Row],[HAListPrice]]-HearingAids7[[#This Row],[Discount Amount 2]]</f>
        <v>1582.5</v>
      </c>
      <c r="L20" s="97">
        <v>3390</v>
      </c>
      <c r="M20" s="44"/>
      <c r="N20" s="44"/>
      <c r="O20" s="44"/>
      <c r="P20" s="90"/>
      <c r="Q20" s="45">
        <v>1</v>
      </c>
      <c r="R20" s="70" t="s">
        <v>49</v>
      </c>
      <c r="S20" s="90">
        <v>225</v>
      </c>
      <c r="T20" s="47" t="s">
        <v>61</v>
      </c>
      <c r="U20" s="4">
        <v>0</v>
      </c>
      <c r="V20" s="52" t="s">
        <v>56</v>
      </c>
      <c r="Y20" s="15"/>
      <c r="Z20" s="15"/>
      <c r="AA20" s="15"/>
      <c r="AB20"/>
      <c r="AC20"/>
      <c r="AD20"/>
      <c r="AE20"/>
    </row>
    <row r="21" spans="1:31" ht="15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7">
        <v>2459</v>
      </c>
      <c r="E21" s="44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7">
        <v>3990</v>
      </c>
      <c r="I21" s="75" t="s">
        <v>86</v>
      </c>
      <c r="J21" s="44">
        <f>(HearingAids7[[#This Row],[haMSRP]]-HearingAids7[[#This Row],[Discount Amount 1]])-(HearingAids7[[#This Row],[haNetPriceBinural]]-HearingAids7[[#This Row],[chargerPrice]])/2</f>
        <v>300</v>
      </c>
      <c r="K21" s="44">
        <f>HearingAids7[[#This Row],[HAListPrice]]-HearingAids7[[#This Row],[Discount Amount 2]]</f>
        <v>1582.5</v>
      </c>
      <c r="L21" s="98">
        <v>3390</v>
      </c>
      <c r="M21" s="44"/>
      <c r="N21" s="44"/>
      <c r="O21" s="44"/>
      <c r="P21" s="44"/>
      <c r="Q21" s="45">
        <v>1</v>
      </c>
      <c r="R21" s="70" t="s">
        <v>49</v>
      </c>
      <c r="S21" s="90">
        <v>225</v>
      </c>
      <c r="T21" s="47" t="s">
        <v>61</v>
      </c>
      <c r="U21" s="15">
        <v>0</v>
      </c>
      <c r="V21" s="47" t="s">
        <v>56</v>
      </c>
      <c r="Y21" s="15"/>
      <c r="Z21" s="15"/>
      <c r="AA21" s="15"/>
      <c r="AB21"/>
      <c r="AC21"/>
      <c r="AD21"/>
      <c r="AE21"/>
    </row>
    <row r="22" spans="1:31" ht="15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7">
        <v>2459</v>
      </c>
      <c r="E22" s="44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7">
        <v>3990</v>
      </c>
      <c r="I22" s="53" t="s">
        <v>87</v>
      </c>
      <c r="J22" s="44">
        <f>(HearingAids7[[#This Row],[haMSRP]]-HearingAids7[[#This Row],[Discount Amount 1]])-(HearingAids7[[#This Row],[haNetPriceBinural]]-HearingAids7[[#This Row],[chargerPrice]])/2</f>
        <v>300</v>
      </c>
      <c r="K22" s="44">
        <f>HearingAids7[[#This Row],[HAListPrice]]-HearingAids7[[#This Row],[Discount Amount 2]]</f>
        <v>1582.5</v>
      </c>
      <c r="L22" s="97">
        <v>3390</v>
      </c>
      <c r="M22" s="44"/>
      <c r="N22" s="44"/>
      <c r="O22" s="44"/>
      <c r="P22" s="90"/>
      <c r="Q22" s="45">
        <v>1</v>
      </c>
      <c r="R22" s="70" t="s">
        <v>49</v>
      </c>
      <c r="S22" s="90">
        <v>225</v>
      </c>
      <c r="T22" s="47" t="s">
        <v>61</v>
      </c>
      <c r="U22" s="4">
        <v>0</v>
      </c>
      <c r="V22" s="52" t="s">
        <v>56</v>
      </c>
      <c r="Y22" s="15"/>
      <c r="Z22" s="15"/>
      <c r="AA22" s="15"/>
      <c r="AB22"/>
      <c r="AC22"/>
      <c r="AD22"/>
      <c r="AE22"/>
    </row>
    <row r="23" spans="1:31" ht="15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7">
        <v>2459</v>
      </c>
      <c r="E23" s="44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7">
        <v>3990</v>
      </c>
      <c r="I23" s="53" t="s">
        <v>88</v>
      </c>
      <c r="J23" s="44">
        <f>(HearingAids7[[#This Row],[haMSRP]]-HearingAids7[[#This Row],[Discount Amount 1]])-(HearingAids7[[#This Row],[haNetPriceBinural]]-HearingAids7[[#This Row],[chargerPrice]])/2</f>
        <v>300</v>
      </c>
      <c r="K23" s="44">
        <f>HearingAids7[[#This Row],[HAListPrice]]-HearingAids7[[#This Row],[Discount Amount 2]]</f>
        <v>1582.5</v>
      </c>
      <c r="L23" s="97">
        <v>3390</v>
      </c>
      <c r="M23" s="44"/>
      <c r="N23" s="44"/>
      <c r="O23" s="44"/>
      <c r="P23" s="90"/>
      <c r="Q23" s="91">
        <v>1</v>
      </c>
      <c r="R23" s="92" t="s">
        <v>49</v>
      </c>
      <c r="S23" s="90">
        <v>225</v>
      </c>
      <c r="T23" s="93" t="s">
        <v>61</v>
      </c>
      <c r="U23" s="20">
        <v>0</v>
      </c>
      <c r="V23" s="95" t="s">
        <v>56</v>
      </c>
      <c r="Y23" s="15"/>
      <c r="Z23" s="15"/>
      <c r="AA23" s="15"/>
      <c r="AB23"/>
      <c r="AC23"/>
      <c r="AD23"/>
      <c r="AE23"/>
    </row>
    <row r="24" spans="1:31" ht="15">
      <c r="A24" s="41" t="s">
        <v>53</v>
      </c>
      <c r="B24" s="88" t="s">
        <v>54</v>
      </c>
      <c r="C24" s="42">
        <f>(HearingAids7[[#This Row],[haMSRP]]*2)+HearingAids7[[#This Row],[chargerPrice]]</f>
        <v>12203</v>
      </c>
      <c r="D24" s="97">
        <v>5939</v>
      </c>
      <c r="E24" s="44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7">
        <v>9650</v>
      </c>
      <c r="I24" s="75" t="s">
        <v>64</v>
      </c>
      <c r="J24" s="44">
        <f>(HearingAids7[[#This Row],[haMSRP]]-HearingAids7[[#This Row],[Discount Amount 1]])-(HearingAids7[[#This Row],[haNetPriceBinural]]-HearingAids7[[#This Row],[chargerPrice]])/2</f>
        <v>1480</v>
      </c>
      <c r="K24" s="44">
        <f>HearingAids7[[#This Row],[HAListPrice]]-HearingAids7[[#This Row],[Discount Amount 2]]</f>
        <v>3182.5</v>
      </c>
      <c r="L24" s="97">
        <v>6690</v>
      </c>
      <c r="M24" s="44"/>
      <c r="N24" s="44">
        <f>((HearingAids7[[#This Row],[haNetPriceBinural]]-HearingAids7[[#This Row],[chargerPrice]])/2)-HearingAids7[[#This Row],[haNetPriceBinural2]]</f>
        <v>3182.5</v>
      </c>
      <c r="O24" s="44">
        <f>HearingAids7[[#This Row],[haNetPrice]]-HearingAids7[[#This Row],[Discount Amount 3]]</f>
        <v>0</v>
      </c>
      <c r="P24" s="44"/>
      <c r="Q24" s="45">
        <v>1</v>
      </c>
      <c r="R24" s="45" t="s">
        <v>52</v>
      </c>
      <c r="S24" s="45">
        <v>325</v>
      </c>
      <c r="T24" s="47" t="s">
        <v>55</v>
      </c>
      <c r="U24" s="47">
        <v>0</v>
      </c>
      <c r="V24" s="47" t="s">
        <v>56</v>
      </c>
      <c r="Y24" s="15"/>
      <c r="Z24" s="15"/>
      <c r="AA24" s="15"/>
      <c r="AB24"/>
      <c r="AC24"/>
      <c r="AD24"/>
      <c r="AE24"/>
    </row>
    <row r="25" spans="1:31" ht="15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7">
        <v>5939</v>
      </c>
      <c r="E25" s="44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7">
        <v>9650</v>
      </c>
      <c r="I25" s="75" t="s">
        <v>76</v>
      </c>
      <c r="J25" s="44">
        <f>(HearingAids7[[#This Row],[haMSRP]]-HearingAids7[[#This Row],[Discount Amount 1]])-(HearingAids7[[#This Row],[haNetPriceBinural]]-HearingAids7[[#This Row],[chargerPrice]])/2</f>
        <v>1480</v>
      </c>
      <c r="K25" s="44">
        <f>HearingAids7[[#This Row],[HAListPrice]]-HearingAids7[[#This Row],[Discount Amount 2]]</f>
        <v>3182.5</v>
      </c>
      <c r="L25" s="97">
        <v>6690</v>
      </c>
      <c r="M25" s="44"/>
      <c r="N25" s="44">
        <f>((HearingAids7[[#This Row],[haNetPriceBinural]]-HearingAids7[[#This Row],[chargerPrice]])/2)-HearingAids7[[#This Row],[haNetPriceBinural2]]</f>
        <v>3182.5</v>
      </c>
      <c r="O25" s="44">
        <f>HearingAids7[[#This Row],[haNetPrice]]-HearingAids7[[#This Row],[Discount Amount 3]]</f>
        <v>0</v>
      </c>
      <c r="P25" s="44"/>
      <c r="Q25" s="45">
        <v>1</v>
      </c>
      <c r="R25" s="45" t="s">
        <v>52</v>
      </c>
      <c r="S25" s="45">
        <v>325</v>
      </c>
      <c r="T25" s="47" t="s">
        <v>55</v>
      </c>
      <c r="U25" s="47">
        <v>0</v>
      </c>
      <c r="V25" s="47" t="s">
        <v>56</v>
      </c>
      <c r="Y25" s="15"/>
      <c r="Z25" s="15"/>
      <c r="AA25" s="15"/>
      <c r="AB25"/>
      <c r="AC25"/>
      <c r="AD25"/>
      <c r="AE25"/>
    </row>
    <row r="26" spans="1:31" ht="15">
      <c r="A26" s="41" t="s">
        <v>53</v>
      </c>
      <c r="B26" s="88" t="s">
        <v>54</v>
      </c>
      <c r="C26" s="42">
        <f>(HearingAids7[[#This Row],[haMSRP]]*2)+HearingAids7[[#This Row],[chargerPrice]]</f>
        <v>12203</v>
      </c>
      <c r="D26" s="97">
        <v>5939</v>
      </c>
      <c r="E26" s="44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7">
        <v>9650</v>
      </c>
      <c r="I26" s="75" t="s">
        <v>77</v>
      </c>
      <c r="J26" s="44">
        <f>(HearingAids7[[#This Row],[haMSRP]]-HearingAids7[[#This Row],[Discount Amount 1]])-(HearingAids7[[#This Row],[haNetPriceBinural]]-HearingAids7[[#This Row],[chargerPrice]])/2</f>
        <v>1480</v>
      </c>
      <c r="K26" s="44">
        <f>HearingAids7[[#This Row],[HAListPrice]]-HearingAids7[[#This Row],[Discount Amount 2]]</f>
        <v>3182.5</v>
      </c>
      <c r="L26" s="97">
        <v>6690</v>
      </c>
      <c r="M26" s="44"/>
      <c r="N26" s="44">
        <f>((HearingAids7[[#This Row],[haNetPriceBinural]]-HearingAids7[[#This Row],[chargerPrice]])/2)-HearingAids7[[#This Row],[haNetPriceBinural2]]</f>
        <v>3182.5</v>
      </c>
      <c r="O26" s="44">
        <f>HearingAids7[[#This Row],[haNetPrice]]-HearingAids7[[#This Row],[Discount Amount 3]]</f>
        <v>0</v>
      </c>
      <c r="P26" s="44"/>
      <c r="Q26" s="45">
        <v>1</v>
      </c>
      <c r="R26" s="45" t="s">
        <v>52</v>
      </c>
      <c r="S26" s="45">
        <v>325</v>
      </c>
      <c r="T26" s="47" t="s">
        <v>55</v>
      </c>
      <c r="U26" s="47">
        <v>0</v>
      </c>
      <c r="V26" s="47" t="s">
        <v>56</v>
      </c>
      <c r="Y26" s="15"/>
      <c r="Z26" s="15"/>
      <c r="AA26" s="15"/>
      <c r="AB26"/>
      <c r="AC26"/>
      <c r="AD26"/>
      <c r="AE26"/>
    </row>
    <row r="27" spans="1:31" ht="15">
      <c r="A27" s="41" t="s">
        <v>53</v>
      </c>
      <c r="B27" s="88" t="s">
        <v>54</v>
      </c>
      <c r="C27" s="42">
        <f>(HearingAids7[[#This Row],[haMSRP]]*2)+HearingAids7[[#This Row],[chargerPrice]]</f>
        <v>12203</v>
      </c>
      <c r="D27" s="97">
        <v>5939</v>
      </c>
      <c r="E27" s="44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7">
        <v>9650</v>
      </c>
      <c r="I27" s="75" t="s">
        <v>78</v>
      </c>
      <c r="J27" s="44">
        <f>(HearingAids7[[#This Row],[haMSRP]]-HearingAids7[[#This Row],[Discount Amount 1]])-(HearingAids7[[#This Row],[haNetPriceBinural]]-HearingAids7[[#This Row],[chargerPrice]])/2</f>
        <v>1480</v>
      </c>
      <c r="K27" s="44">
        <f>HearingAids7[[#This Row],[HAListPrice]]-HearingAids7[[#This Row],[Discount Amount 2]]</f>
        <v>3182.5</v>
      </c>
      <c r="L27" s="97">
        <v>6690</v>
      </c>
      <c r="M27" s="44"/>
      <c r="N27" s="44">
        <f>((HearingAids7[[#This Row],[haNetPriceBinural]]-HearingAids7[[#This Row],[chargerPrice]])/2)-HearingAids7[[#This Row],[haNetPriceBinural2]]</f>
        <v>3182.5</v>
      </c>
      <c r="O27" s="44">
        <f>HearingAids7[[#This Row],[haNetPrice]]-HearingAids7[[#This Row],[Discount Amount 3]]</f>
        <v>0</v>
      </c>
      <c r="P27" s="44"/>
      <c r="Q27" s="45">
        <v>1</v>
      </c>
      <c r="R27" s="45" t="s">
        <v>52</v>
      </c>
      <c r="S27" s="45">
        <v>325</v>
      </c>
      <c r="T27" s="47" t="s">
        <v>55</v>
      </c>
      <c r="U27" s="47">
        <v>0</v>
      </c>
      <c r="V27" s="47" t="s">
        <v>56</v>
      </c>
      <c r="Y27" s="15"/>
      <c r="Z27" s="15"/>
      <c r="AA27" s="15"/>
      <c r="AB27"/>
      <c r="AC27"/>
      <c r="AD27"/>
      <c r="AE27"/>
    </row>
    <row r="28" spans="1:31" ht="15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7">
        <v>5939</v>
      </c>
      <c r="E28" s="44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7">
        <v>9650</v>
      </c>
      <c r="I28" s="75" t="s">
        <v>81</v>
      </c>
      <c r="J28" s="44">
        <f>(HearingAids7[[#This Row],[haMSRP]]-HearingAids7[[#This Row],[Discount Amount 1]])-(HearingAids7[[#This Row],[haNetPriceBinural]]-HearingAids7[[#This Row],[chargerPrice]])/2</f>
        <v>1480</v>
      </c>
      <c r="K28" s="44">
        <f>HearingAids7[[#This Row],[HAListPrice]]-HearingAids7[[#This Row],[Discount Amount 2]]</f>
        <v>3182.5</v>
      </c>
      <c r="L28" s="97">
        <v>6690</v>
      </c>
      <c r="M28" s="44"/>
      <c r="N28" s="44"/>
      <c r="O28" s="44">
        <f>HearingAids7[[#This Row],[haNetPrice]]-HearingAids7[[#This Row],[Discount Amount 3]]</f>
        <v>3182.5</v>
      </c>
      <c r="P28" s="44"/>
      <c r="Q28" s="45">
        <v>1</v>
      </c>
      <c r="R28" s="45" t="s">
        <v>52</v>
      </c>
      <c r="S28" s="45">
        <v>325</v>
      </c>
      <c r="T28" s="47" t="s">
        <v>55</v>
      </c>
      <c r="U28" s="47">
        <v>0</v>
      </c>
      <c r="V28" s="47" t="s">
        <v>56</v>
      </c>
      <c r="Y28" s="15"/>
      <c r="Z28" s="15"/>
      <c r="AA28" s="15"/>
      <c r="AB28"/>
      <c r="AC28"/>
      <c r="AD28"/>
      <c r="AE28"/>
    </row>
    <row r="29" spans="1:31" ht="15">
      <c r="A29" s="41" t="s">
        <v>53</v>
      </c>
      <c r="B29" s="88" t="s">
        <v>54</v>
      </c>
      <c r="C29" s="42">
        <f>(HearingAids7[[#This Row],[haMSRP]]*2)+HearingAids7[[#This Row],[chargerPrice]]</f>
        <v>12203</v>
      </c>
      <c r="D29" s="97">
        <v>5939</v>
      </c>
      <c r="E29" s="44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7">
        <v>9650</v>
      </c>
      <c r="I29" s="75" t="s">
        <v>82</v>
      </c>
      <c r="J29" s="44">
        <f>(HearingAids7[[#This Row],[haMSRP]]-HearingAids7[[#This Row],[Discount Amount 1]])-(HearingAids7[[#This Row],[haNetPriceBinural]]-HearingAids7[[#This Row],[chargerPrice]])/2</f>
        <v>1480</v>
      </c>
      <c r="K29" s="44">
        <f>HearingAids7[[#This Row],[HAListPrice]]-HearingAids7[[#This Row],[Discount Amount 2]]</f>
        <v>3182.5</v>
      </c>
      <c r="L29" s="97">
        <v>6690</v>
      </c>
      <c r="M29" s="44"/>
      <c r="N29" s="44"/>
      <c r="O29" s="44">
        <f>HearingAids7[[#This Row],[haNetPrice]]-HearingAids7[[#This Row],[Discount Amount 3]]</f>
        <v>3182.5</v>
      </c>
      <c r="P29" s="44"/>
      <c r="Q29" s="45">
        <v>1</v>
      </c>
      <c r="R29" s="45" t="s">
        <v>52</v>
      </c>
      <c r="S29" s="45">
        <v>325</v>
      </c>
      <c r="T29" s="47" t="s">
        <v>55</v>
      </c>
      <c r="U29" s="47">
        <v>0</v>
      </c>
      <c r="V29" s="47" t="s">
        <v>56</v>
      </c>
      <c r="Y29" s="15"/>
      <c r="Z29" s="15"/>
      <c r="AA29" s="15"/>
      <c r="AB29"/>
      <c r="AC29"/>
      <c r="AD29"/>
      <c r="AE29"/>
    </row>
    <row r="30" spans="1:31" ht="15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7">
        <v>5939</v>
      </c>
      <c r="E30" s="44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7">
        <v>9650</v>
      </c>
      <c r="I30" s="75" t="s">
        <v>85</v>
      </c>
      <c r="J30" s="44">
        <f>(HearingAids7[[#This Row],[haMSRP]]-HearingAids7[[#This Row],[Discount Amount 1]])-(HearingAids7[[#This Row],[haNetPriceBinural]]-HearingAids7[[#This Row],[chargerPrice]])/2</f>
        <v>1480</v>
      </c>
      <c r="K30" s="44">
        <f>HearingAids7[[#This Row],[HAListPrice]]-HearingAids7[[#This Row],[Discount Amount 2]]</f>
        <v>3182.5</v>
      </c>
      <c r="L30" s="97">
        <v>6690</v>
      </c>
      <c r="M30" s="44"/>
      <c r="N30" s="44"/>
      <c r="O30" s="44">
        <f>HearingAids7[[#This Row],[haNetPrice]]-HearingAids7[[#This Row],[Discount Amount 3]]</f>
        <v>3182.5</v>
      </c>
      <c r="P30" s="44"/>
      <c r="Q30" s="45">
        <v>1</v>
      </c>
      <c r="R30" s="45" t="s">
        <v>52</v>
      </c>
      <c r="S30" s="45">
        <v>325</v>
      </c>
      <c r="T30" s="47" t="s">
        <v>55</v>
      </c>
      <c r="U30" s="47">
        <v>0</v>
      </c>
      <c r="V30" s="47" t="s">
        <v>56</v>
      </c>
      <c r="W30" s="44"/>
      <c r="Y30" s="15"/>
      <c r="Z30" s="15"/>
      <c r="AA30" s="15"/>
      <c r="AB30"/>
      <c r="AC30"/>
      <c r="AD30"/>
      <c r="AE30"/>
    </row>
    <row r="31" spans="1:31" ht="15">
      <c r="A31" s="41" t="s">
        <v>53</v>
      </c>
      <c r="B31" s="88" t="s">
        <v>54</v>
      </c>
      <c r="C31" s="42">
        <f>(HearingAids7[[#This Row],[haMSRP]]*2)+HearingAids7[[#This Row],[chargerPrice]]</f>
        <v>12203</v>
      </c>
      <c r="D31" s="97">
        <v>5939</v>
      </c>
      <c r="E31" s="44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7">
        <v>9650</v>
      </c>
      <c r="I31" s="75" t="s">
        <v>86</v>
      </c>
      <c r="J31" s="44">
        <f>(HearingAids7[[#This Row],[haMSRP]]-HearingAids7[[#This Row],[Discount Amount 1]])-(HearingAids7[[#This Row],[haNetPriceBinural]]-HearingAids7[[#This Row],[chargerPrice]])/2</f>
        <v>1480</v>
      </c>
      <c r="K31" s="44">
        <f>HearingAids7[[#This Row],[HAListPrice]]-HearingAids7[[#This Row],[Discount Amount 2]]</f>
        <v>3182.5</v>
      </c>
      <c r="L31" s="97">
        <v>6690</v>
      </c>
      <c r="M31" s="44"/>
      <c r="N31" s="44"/>
      <c r="O31" s="44">
        <f>HearingAids7[[#This Row],[haNetPrice]]-HearingAids7[[#This Row],[Discount Amount 3]]</f>
        <v>3182.5</v>
      </c>
      <c r="P31" s="44"/>
      <c r="Q31" s="45">
        <v>1</v>
      </c>
      <c r="R31" s="45" t="s">
        <v>52</v>
      </c>
      <c r="S31" s="45">
        <v>325</v>
      </c>
      <c r="T31" s="47" t="s">
        <v>55</v>
      </c>
      <c r="U31" s="47">
        <v>0</v>
      </c>
      <c r="V31" s="47" t="s">
        <v>56</v>
      </c>
      <c r="W31" s="44"/>
      <c r="Y31" s="15"/>
      <c r="Z31" s="15"/>
      <c r="AA31" s="15"/>
      <c r="AB31"/>
      <c r="AC31"/>
      <c r="AD31"/>
      <c r="AE31"/>
    </row>
    <row r="32" spans="1:31" ht="15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7">
        <v>5939</v>
      </c>
      <c r="E32" s="44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7">
        <v>9650</v>
      </c>
      <c r="I32" s="75" t="s">
        <v>88</v>
      </c>
      <c r="J32" s="44">
        <f>(HearingAids7[[#This Row],[haMSRP]]-HearingAids7[[#This Row],[Discount Amount 1]])-(HearingAids7[[#This Row],[haNetPriceBinural]]-HearingAids7[[#This Row],[chargerPrice]])/2</f>
        <v>1480</v>
      </c>
      <c r="K32" s="44">
        <f>HearingAids7[[#This Row],[HAListPrice]]-HearingAids7[[#This Row],[Discount Amount 2]]</f>
        <v>3182.5</v>
      </c>
      <c r="L32" s="97">
        <v>6690</v>
      </c>
      <c r="M32" s="44"/>
      <c r="N32" s="44"/>
      <c r="O32" s="44">
        <f>HearingAids7[[#This Row],[haNetPrice]]-HearingAids7[[#This Row],[Discount Amount 3]]</f>
        <v>3182.5</v>
      </c>
      <c r="P32" s="44"/>
      <c r="Q32" s="45">
        <v>1</v>
      </c>
      <c r="R32" s="45" t="s">
        <v>52</v>
      </c>
      <c r="S32" s="45">
        <v>325</v>
      </c>
      <c r="T32" s="47" t="s">
        <v>55</v>
      </c>
      <c r="U32" s="47">
        <v>0</v>
      </c>
      <c r="V32" s="47" t="s">
        <v>56</v>
      </c>
      <c r="W32" s="44"/>
      <c r="Y32" s="15"/>
      <c r="Z32" s="15"/>
      <c r="AA32" s="15"/>
      <c r="AB32"/>
      <c r="AC32"/>
      <c r="AD32"/>
      <c r="AE32"/>
    </row>
    <row r="33" spans="1:32" ht="15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7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7">
        <v>9650</v>
      </c>
      <c r="I33" s="53" t="s">
        <v>45</v>
      </c>
      <c r="J33" s="44">
        <v>0</v>
      </c>
      <c r="K33" s="44">
        <f>HearingAids7[[#This Row],[HAListPrice]]-HearingAids7[[#This Row],[Discount Amount 2]]</f>
        <v>4662.5</v>
      </c>
      <c r="L33" s="97"/>
      <c r="M33" s="44"/>
      <c r="N33" s="44"/>
      <c r="O33" s="44"/>
      <c r="P33" s="44"/>
      <c r="Q33" s="45">
        <v>1</v>
      </c>
      <c r="R33" s="44" t="s">
        <v>52</v>
      </c>
      <c r="S33" s="44">
        <v>325</v>
      </c>
      <c r="T33" s="46" t="s">
        <v>55</v>
      </c>
      <c r="U33" s="47">
        <v>0</v>
      </c>
      <c r="V33" s="46" t="s">
        <v>56</v>
      </c>
      <c r="W33" s="44"/>
      <c r="Y33" s="15"/>
      <c r="Z33" s="15"/>
      <c r="AA33" s="15"/>
      <c r="AB33"/>
      <c r="AC33"/>
      <c r="AD33"/>
      <c r="AE33"/>
    </row>
    <row r="34" spans="1:32" ht="15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7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7">
        <v>9650</v>
      </c>
      <c r="I34" s="53" t="s">
        <v>65</v>
      </c>
      <c r="J34" s="44">
        <f>(HearingAids7[[#This Row],[haMSRP]]-HearingAids7[[#This Row],[Discount Amount 1]])-(HearingAids7[[#This Row],[haNetPriceBinural]]-HearingAids7[[#This Row],[chargerPrice]])/2</f>
        <v>0</v>
      </c>
      <c r="K34" s="44">
        <f>HearingAids7[[#This Row],[HAListPrice]]-HearingAids7[[#This Row],[Discount Amount 2]]</f>
        <v>4662.5</v>
      </c>
      <c r="L34" s="97">
        <v>9650</v>
      </c>
      <c r="M34" s="44"/>
      <c r="N34" s="44"/>
      <c r="O34" s="44"/>
      <c r="P34" s="44"/>
      <c r="Q34" s="45">
        <v>1</v>
      </c>
      <c r="R34" s="44" t="s">
        <v>52</v>
      </c>
      <c r="S34" s="44">
        <v>325</v>
      </c>
      <c r="T34" s="6" t="s">
        <v>55</v>
      </c>
      <c r="U34" s="44">
        <v>0</v>
      </c>
      <c r="V34" s="49" t="s">
        <v>56</v>
      </c>
      <c r="W34" s="44"/>
      <c r="Y34" s="15"/>
      <c r="Z34" s="15"/>
      <c r="AA34" s="15"/>
      <c r="AB34"/>
      <c r="AC34"/>
      <c r="AD34"/>
      <c r="AE34"/>
    </row>
    <row r="35" spans="1:32" s="113" customFormat="1" ht="15">
      <c r="A35" s="103" t="s">
        <v>53</v>
      </c>
      <c r="B35" s="103" t="s">
        <v>54</v>
      </c>
      <c r="C35" s="104">
        <f>(HearingAids7[[#This Row],[haMSRP]]*2)+HearingAids7[[#This Row],[chargerPrice]]</f>
        <v>12203</v>
      </c>
      <c r="D35" s="105">
        <v>5939</v>
      </c>
      <c r="E35" s="106" t="s">
        <v>10</v>
      </c>
      <c r="F35" s="106">
        <f>HearingAids7[[#This Row],[haMSRP]]-((HearingAids7[[#This Row],[ListPriceBinural]]-HearingAids7[[#This Row],[chargerPrice]])/2)</f>
        <v>1276.5</v>
      </c>
      <c r="G35" s="106">
        <f>HearingAids7[[#This Row],[haMSRP]]-HearingAids7[[#This Row],[Discount Amount 1]]</f>
        <v>4662.5</v>
      </c>
      <c r="H35" s="105">
        <v>9650</v>
      </c>
      <c r="I35" s="107" t="s">
        <v>72</v>
      </c>
      <c r="J35" s="108">
        <f>(HearingAids7[[#This Row],[haMSRP]]-HearingAids7[[#This Row],[Discount Amount 1]])-(HearingAids7[[#This Row],[haNetPriceBinural]]-HearingAids7[[#This Row],[chargerPrice]])/2</f>
        <v>1480</v>
      </c>
      <c r="K35" s="108">
        <f>HearingAids7[[#This Row],[HAListPrice]]-HearingAids7[[#This Row],[Discount Amount 2]]</f>
        <v>3182.5</v>
      </c>
      <c r="L35" s="109">
        <v>6690</v>
      </c>
      <c r="M35" s="108"/>
      <c r="N35" s="108"/>
      <c r="O35" s="108"/>
      <c r="P35" s="108"/>
      <c r="Q35" s="110">
        <v>1</v>
      </c>
      <c r="R35" s="110" t="s">
        <v>52</v>
      </c>
      <c r="S35" s="106">
        <v>325</v>
      </c>
      <c r="T35" s="111" t="s">
        <v>55</v>
      </c>
      <c r="U35" s="112">
        <v>0</v>
      </c>
      <c r="V35" s="111" t="s">
        <v>56</v>
      </c>
      <c r="W35" s="108"/>
      <c r="Y35" s="114"/>
      <c r="Z35" s="114"/>
      <c r="AA35" s="114"/>
    </row>
    <row r="36" spans="1:32" ht="15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7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7">
        <v>9650</v>
      </c>
      <c r="I36" s="53" t="s">
        <v>75</v>
      </c>
      <c r="J36" s="44">
        <f>(HearingAids7[[#This Row],[haMSRP]]-HearingAids7[[#This Row],[Discount Amount 1]])-(HearingAids7[[#This Row],[haNetPriceBinural]]-HearingAids7[[#This Row],[chargerPrice]])/2</f>
        <v>100</v>
      </c>
      <c r="K36" s="44">
        <f>HearingAids7[[#This Row],[HAListPrice]]-HearingAids7[[#This Row],[Discount Amount 2]]</f>
        <v>4562.5</v>
      </c>
      <c r="L36" s="97">
        <v>9450</v>
      </c>
      <c r="M36" s="44"/>
      <c r="N36" s="44"/>
      <c r="O36" s="44"/>
      <c r="P36" s="44"/>
      <c r="Q36" s="45">
        <v>1</v>
      </c>
      <c r="R36" s="44" t="s">
        <v>52</v>
      </c>
      <c r="S36" s="44">
        <v>325</v>
      </c>
      <c r="T36" s="46" t="s">
        <v>55</v>
      </c>
      <c r="U36" s="47">
        <v>0</v>
      </c>
      <c r="V36" s="46" t="s">
        <v>56</v>
      </c>
      <c r="W36" s="44"/>
      <c r="Y36" s="15"/>
      <c r="Z36" s="15"/>
      <c r="AA36" s="15"/>
      <c r="AB36"/>
      <c r="AC36"/>
      <c r="AD36"/>
      <c r="AE36"/>
    </row>
    <row r="37" spans="1:32" ht="15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7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7">
        <v>9650</v>
      </c>
      <c r="I37" s="53" t="s">
        <v>80</v>
      </c>
      <c r="J37" s="44">
        <f>(HearingAids7[[#This Row],[haMSRP]]-HearingAids7[[#This Row],[Discount Amount 1]])-(HearingAids7[[#This Row],[haNetPriceBinural]]-HearingAids7[[#This Row],[chargerPrice]])/2</f>
        <v>500</v>
      </c>
      <c r="K37" s="44">
        <f>HearingAids7[[#This Row],[HAListPrice]]-HearingAids7[[#This Row],[Discount Amount 2]]</f>
        <v>4162.5</v>
      </c>
      <c r="L37" s="97">
        <f>HearingAids7[[#This Row],[ListPriceBinural]]-1000</f>
        <v>8650</v>
      </c>
      <c r="M37" s="44"/>
      <c r="N37" s="44"/>
      <c r="O37" s="44"/>
      <c r="P37" s="44"/>
      <c r="Q37" s="45">
        <v>1</v>
      </c>
      <c r="R37" s="44" t="s">
        <v>52</v>
      </c>
      <c r="S37" s="44">
        <v>325</v>
      </c>
      <c r="T37" s="46" t="s">
        <v>55</v>
      </c>
      <c r="U37" s="47">
        <v>0</v>
      </c>
      <c r="V37" s="46" t="s">
        <v>56</v>
      </c>
      <c r="W37" s="44"/>
      <c r="Y37" s="15"/>
      <c r="Z37" s="15"/>
      <c r="AA37" s="15"/>
      <c r="AB37"/>
      <c r="AC37"/>
      <c r="AD37"/>
      <c r="AE37"/>
    </row>
    <row r="38" spans="1:32" ht="15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7">
        <v>5939</v>
      </c>
      <c r="E38" s="44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7">
        <v>9650</v>
      </c>
      <c r="I38" s="53" t="s">
        <v>83</v>
      </c>
      <c r="J38" s="44">
        <f>((HearingAids7[[#This Row],[haMSRP]]-HearingAids7[[#This Row],[Discount Amount 1]])-(HearingAids7[[#This Row],[haNetPriceBinural]]-HearingAids7[[#This Row],[chargerPrice]])/2)</f>
        <v>1025</v>
      </c>
      <c r="K38" s="44">
        <f>HearingAids7[[#This Row],[HAListPrice]]-HearingAids7[[#This Row],[Discount Amount 2]]</f>
        <v>3637.5</v>
      </c>
      <c r="L38" s="97">
        <v>7600</v>
      </c>
      <c r="M38" s="53"/>
      <c r="N38" s="44"/>
      <c r="O38" s="99"/>
      <c r="P38" s="44"/>
      <c r="Q38" s="45">
        <v>1</v>
      </c>
      <c r="R38" s="44" t="s">
        <v>52</v>
      </c>
      <c r="S38" s="44">
        <v>325</v>
      </c>
      <c r="T38" s="93" t="s">
        <v>55</v>
      </c>
      <c r="U38" s="20">
        <v>0</v>
      </c>
      <c r="V38" s="95" t="s">
        <v>56</v>
      </c>
      <c r="W38" s="44"/>
      <c r="Y38" s="15"/>
      <c r="Z38" s="15"/>
      <c r="AA38" s="15"/>
      <c r="AB38" s="14"/>
      <c r="AD38" s="15"/>
      <c r="AE38" s="15"/>
      <c r="AF38" s="15"/>
    </row>
    <row r="39" spans="1:32" ht="15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7">
        <v>3149</v>
      </c>
      <c r="E39" s="44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7">
        <v>5350</v>
      </c>
      <c r="I39" s="53" t="s">
        <v>45</v>
      </c>
      <c r="J39" s="44">
        <v>0</v>
      </c>
      <c r="K39" s="44">
        <f>HearingAids7[[#This Row],[HAListPrice]]-HearingAids7[[#This Row],[Discount Amount 2]]</f>
        <v>2512.5</v>
      </c>
      <c r="L39" s="98">
        <f>HearingAids7[[#This Row],[ListPriceBinural]]</f>
        <v>5350</v>
      </c>
      <c r="M39" s="44"/>
      <c r="N39" s="44"/>
      <c r="O39" s="44"/>
      <c r="P39" s="44"/>
      <c r="Q39" s="45">
        <v>1</v>
      </c>
      <c r="R39" s="92" t="s">
        <v>52</v>
      </c>
      <c r="S39" s="71">
        <v>325</v>
      </c>
      <c r="T39" s="47" t="s">
        <v>55</v>
      </c>
      <c r="U39" s="47">
        <v>0</v>
      </c>
      <c r="V39" s="47" t="s">
        <v>56</v>
      </c>
      <c r="W39" s="44"/>
      <c r="Y39" s="15"/>
      <c r="Z39" s="15"/>
      <c r="AA39" s="15"/>
      <c r="AB39" s="14"/>
      <c r="AD39" s="15"/>
      <c r="AE39" s="15"/>
      <c r="AF39" s="15"/>
    </row>
    <row r="40" spans="1:32" ht="15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7">
        <v>3839</v>
      </c>
      <c r="E40" s="44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7">
        <v>7450</v>
      </c>
      <c r="I40" s="75" t="s">
        <v>64</v>
      </c>
      <c r="J40" s="44">
        <f>(HearingAids7[[#This Row],[haMSRP]]-HearingAids7[[#This Row],[Discount Amount 1]])-(HearingAids7[[#This Row],[haNetPriceBinural]]-HearingAids7[[#This Row],[chargerPrice]])/2</f>
        <v>1230</v>
      </c>
      <c r="K40" s="44">
        <f>HearingAids7[[#This Row],[HAListPrice]]-HearingAids7[[#This Row],[Discount Amount 2]]</f>
        <v>2332.5</v>
      </c>
      <c r="L40" s="97">
        <v>4990</v>
      </c>
      <c r="M40" s="44"/>
      <c r="N40" s="44">
        <f>((HearingAids7[[#This Row],[haNetPriceBinural]]-HearingAids7[[#This Row],[chargerPrice]])/2)-HearingAids7[[#This Row],[haNetPriceBinural2]]</f>
        <v>2332.5</v>
      </c>
      <c r="O40" s="44">
        <f>HearingAids7[[#This Row],[haNetPrice]]-HearingAids7[[#This Row],[Discount Amount 3]]</f>
        <v>0</v>
      </c>
      <c r="P40" s="44"/>
      <c r="Q40" s="45">
        <v>1</v>
      </c>
      <c r="R40" s="45" t="s">
        <v>52</v>
      </c>
      <c r="S40" s="45">
        <v>325</v>
      </c>
      <c r="T40" s="47" t="s">
        <v>55</v>
      </c>
      <c r="U40" s="47">
        <v>0</v>
      </c>
      <c r="V40" s="47" t="s">
        <v>56</v>
      </c>
      <c r="W40" s="4"/>
      <c r="Y40" s="15"/>
      <c r="Z40" s="15"/>
      <c r="AA40" s="15"/>
      <c r="AD40" s="15"/>
      <c r="AE40" s="15"/>
      <c r="AF40" s="15"/>
    </row>
    <row r="41" spans="1:32" ht="15">
      <c r="A41" s="41" t="s">
        <v>57</v>
      </c>
      <c r="B41" s="88" t="s">
        <v>58</v>
      </c>
      <c r="C41" s="42">
        <f>(HearingAids7[[#This Row],[haMSRP]]*2)+HearingAids7[[#This Row],[chargerPrice]]</f>
        <v>8003</v>
      </c>
      <c r="D41" s="97">
        <v>3839</v>
      </c>
      <c r="E41" s="44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7">
        <v>7450</v>
      </c>
      <c r="I41" s="75" t="s">
        <v>76</v>
      </c>
      <c r="J41" s="44">
        <f>(HearingAids7[[#This Row],[haMSRP]]-HearingAids7[[#This Row],[Discount Amount 1]])-(HearingAids7[[#This Row],[haNetPriceBinural]]-HearingAids7[[#This Row],[chargerPrice]])/2</f>
        <v>1230</v>
      </c>
      <c r="K41" s="44">
        <f>HearingAids7[[#This Row],[HAListPrice]]-HearingAids7[[#This Row],[Discount Amount 2]]</f>
        <v>2332.5</v>
      </c>
      <c r="L41" s="97">
        <v>4990</v>
      </c>
      <c r="M41" s="44"/>
      <c r="N41" s="44">
        <f>((HearingAids7[[#This Row],[haNetPriceBinural]]-HearingAids7[[#This Row],[chargerPrice]])/2)-HearingAids7[[#This Row],[haNetPriceBinural2]]</f>
        <v>2332.5</v>
      </c>
      <c r="O41" s="44">
        <f>HearingAids7[[#This Row],[haNetPrice]]-HearingAids7[[#This Row],[Discount Amount 3]]</f>
        <v>0</v>
      </c>
      <c r="P41" s="44"/>
      <c r="Q41" s="45">
        <v>1</v>
      </c>
      <c r="R41" s="45" t="s">
        <v>52</v>
      </c>
      <c r="S41" s="45">
        <v>325</v>
      </c>
      <c r="T41" s="47" t="s">
        <v>55</v>
      </c>
      <c r="U41" s="47">
        <v>0</v>
      </c>
      <c r="V41" s="47" t="s">
        <v>56</v>
      </c>
      <c r="W41" s="4"/>
      <c r="Y41" s="15"/>
      <c r="Z41" s="15"/>
      <c r="AA41" s="15"/>
      <c r="AB41"/>
      <c r="AC41"/>
      <c r="AD41"/>
      <c r="AE41"/>
    </row>
    <row r="42" spans="1:32" ht="15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7">
        <v>3839</v>
      </c>
      <c r="E42" s="44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7">
        <v>7450</v>
      </c>
      <c r="I42" s="75" t="s">
        <v>77</v>
      </c>
      <c r="J42" s="44">
        <f>(HearingAids7[[#This Row],[haMSRP]]-HearingAids7[[#This Row],[Discount Amount 1]])-(HearingAids7[[#This Row],[haNetPriceBinural]]-HearingAids7[[#This Row],[chargerPrice]])/2</f>
        <v>1230</v>
      </c>
      <c r="K42" s="44">
        <f>HearingAids7[[#This Row],[HAListPrice]]-HearingAids7[[#This Row],[Discount Amount 2]]</f>
        <v>2332.5</v>
      </c>
      <c r="L42" s="97">
        <v>4990</v>
      </c>
      <c r="M42" s="44"/>
      <c r="N42" s="44">
        <f>((HearingAids7[[#This Row],[haNetPriceBinural]]-HearingAids7[[#This Row],[chargerPrice]])/2)-HearingAids7[[#This Row],[haNetPriceBinural2]]</f>
        <v>2332.5</v>
      </c>
      <c r="O42" s="44">
        <f>HearingAids7[[#This Row],[haNetPrice]]-HearingAids7[[#This Row],[Discount Amount 3]]</f>
        <v>0</v>
      </c>
      <c r="P42" s="44"/>
      <c r="Q42" s="45">
        <v>1</v>
      </c>
      <c r="R42" s="45" t="s">
        <v>52</v>
      </c>
      <c r="S42" s="45">
        <v>325</v>
      </c>
      <c r="T42" s="47" t="s">
        <v>55</v>
      </c>
      <c r="U42" s="47">
        <v>0</v>
      </c>
      <c r="V42" s="47" t="s">
        <v>56</v>
      </c>
      <c r="W42" s="4"/>
      <c r="Y42" s="15"/>
      <c r="Z42" s="15"/>
      <c r="AA42" s="15"/>
      <c r="AB42"/>
      <c r="AC42"/>
      <c r="AD42"/>
      <c r="AE42"/>
    </row>
    <row r="43" spans="1:32" ht="15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7">
        <v>3839</v>
      </c>
      <c r="E43" s="44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7">
        <v>7450</v>
      </c>
      <c r="I43" s="75" t="s">
        <v>78</v>
      </c>
      <c r="J43" s="44">
        <f>(HearingAids7[[#This Row],[haMSRP]]-HearingAids7[[#This Row],[Discount Amount 1]])-(HearingAids7[[#This Row],[haNetPriceBinural]]-HearingAids7[[#This Row],[chargerPrice]])/2</f>
        <v>1230</v>
      </c>
      <c r="K43" s="44">
        <f>HearingAids7[[#This Row],[HAListPrice]]-HearingAids7[[#This Row],[Discount Amount 2]]</f>
        <v>2332.5</v>
      </c>
      <c r="L43" s="97">
        <v>4990</v>
      </c>
      <c r="M43" s="44"/>
      <c r="N43" s="44">
        <f>((HearingAids7[[#This Row],[haNetPriceBinural]]-HearingAids7[[#This Row],[chargerPrice]])/2)-HearingAids7[[#This Row],[haNetPriceBinural2]]</f>
        <v>2332.5</v>
      </c>
      <c r="O43" s="44">
        <f>HearingAids7[[#This Row],[haNetPrice]]-HearingAids7[[#This Row],[Discount Amount 3]]</f>
        <v>0</v>
      </c>
      <c r="P43" s="44"/>
      <c r="Q43" s="45">
        <v>1</v>
      </c>
      <c r="R43" s="45" t="s">
        <v>52</v>
      </c>
      <c r="S43" s="45">
        <v>325</v>
      </c>
      <c r="T43" s="47" t="s">
        <v>55</v>
      </c>
      <c r="U43" s="47">
        <v>0</v>
      </c>
      <c r="V43" s="47" t="s">
        <v>56</v>
      </c>
      <c r="W43" s="4"/>
      <c r="Y43" s="15"/>
      <c r="Z43" s="15"/>
      <c r="AA43" s="15"/>
      <c r="AB43"/>
      <c r="AC43"/>
      <c r="AD43"/>
      <c r="AE43"/>
    </row>
    <row r="44" spans="1:32" ht="15">
      <c r="A44" s="41" t="s">
        <v>57</v>
      </c>
      <c r="B44" s="88" t="s">
        <v>58</v>
      </c>
      <c r="C44" s="42">
        <f>(HearingAids7[[#This Row],[haMSRP]]*2)+HearingAids7[[#This Row],[chargerPrice]]</f>
        <v>8003</v>
      </c>
      <c r="D44" s="97">
        <v>3839</v>
      </c>
      <c r="E44" s="44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7">
        <v>7450</v>
      </c>
      <c r="I44" s="75" t="s">
        <v>81</v>
      </c>
      <c r="J44" s="44">
        <f>(HearingAids7[[#This Row],[haMSRP]]-HearingAids7[[#This Row],[Discount Amount 1]])-(HearingAids7[[#This Row],[haNetPriceBinural]]-HearingAids7[[#This Row],[chargerPrice]])/2</f>
        <v>1230</v>
      </c>
      <c r="K44" s="44">
        <f>HearingAids7[[#This Row],[HAListPrice]]-HearingAids7[[#This Row],[Discount Amount 2]]</f>
        <v>2332.5</v>
      </c>
      <c r="L44" s="97">
        <v>4990</v>
      </c>
      <c r="M44" s="44"/>
      <c r="N44" s="44"/>
      <c r="O44" s="44">
        <f>HearingAids7[[#This Row],[haNetPrice]]-HearingAids7[[#This Row],[Discount Amount 3]]</f>
        <v>2332.5</v>
      </c>
      <c r="P44" s="44"/>
      <c r="Q44" s="45">
        <v>1</v>
      </c>
      <c r="R44" s="45" t="s">
        <v>52</v>
      </c>
      <c r="S44" s="45">
        <v>325</v>
      </c>
      <c r="T44" s="47" t="s">
        <v>55</v>
      </c>
      <c r="U44" s="47">
        <v>0</v>
      </c>
      <c r="V44" s="47" t="s">
        <v>56</v>
      </c>
      <c r="W44" s="4"/>
      <c r="Y44" s="15"/>
      <c r="Z44" s="15"/>
      <c r="AA44" s="15"/>
      <c r="AB44"/>
      <c r="AC44"/>
      <c r="AD44"/>
      <c r="AE44"/>
    </row>
    <row r="45" spans="1:32" ht="15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7">
        <v>3839</v>
      </c>
      <c r="E45" s="44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7">
        <v>7450</v>
      </c>
      <c r="I45" s="75" t="s">
        <v>82</v>
      </c>
      <c r="J45" s="44">
        <f>(HearingAids7[[#This Row],[haMSRP]]-HearingAids7[[#This Row],[Discount Amount 1]])-(HearingAids7[[#This Row],[haNetPriceBinural]]-HearingAids7[[#This Row],[chargerPrice]])/2</f>
        <v>1230</v>
      </c>
      <c r="K45" s="44">
        <f>HearingAids7[[#This Row],[HAListPrice]]-HearingAids7[[#This Row],[Discount Amount 2]]</f>
        <v>2332.5</v>
      </c>
      <c r="L45" s="97">
        <v>4990</v>
      </c>
      <c r="M45" s="44"/>
      <c r="N45" s="44"/>
      <c r="O45" s="44">
        <f>HearingAids7[[#This Row],[haNetPrice]]-HearingAids7[[#This Row],[Discount Amount 3]]</f>
        <v>2332.5</v>
      </c>
      <c r="P45" s="44"/>
      <c r="Q45" s="45">
        <v>1</v>
      </c>
      <c r="R45" s="45" t="s">
        <v>52</v>
      </c>
      <c r="S45" s="45">
        <v>325</v>
      </c>
      <c r="T45" s="47" t="s">
        <v>55</v>
      </c>
      <c r="U45" s="47">
        <v>0</v>
      </c>
      <c r="V45" s="47" t="s">
        <v>56</v>
      </c>
      <c r="W45" s="4"/>
      <c r="Y45" s="15"/>
      <c r="Z45" s="15"/>
      <c r="AA45" s="15"/>
      <c r="AB45"/>
      <c r="AC45"/>
      <c r="AD45"/>
      <c r="AE45"/>
    </row>
    <row r="46" spans="1:32" ht="15">
      <c r="A46" s="41" t="s">
        <v>57</v>
      </c>
      <c r="B46" s="88" t="s">
        <v>58</v>
      </c>
      <c r="C46" s="42">
        <f>(HearingAids7[[#This Row],[haMSRP]]*2)+HearingAids7[[#This Row],[chargerPrice]]</f>
        <v>8003</v>
      </c>
      <c r="D46" s="97">
        <v>3839</v>
      </c>
      <c r="E46" s="44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7">
        <v>7450</v>
      </c>
      <c r="I46" s="75" t="s">
        <v>85</v>
      </c>
      <c r="J46" s="44">
        <f>(HearingAids7[[#This Row],[haMSRP]]-HearingAids7[[#This Row],[Discount Amount 1]])-(HearingAids7[[#This Row],[haNetPriceBinural]]-HearingAids7[[#This Row],[chargerPrice]])/2</f>
        <v>1230</v>
      </c>
      <c r="K46" s="44">
        <f>HearingAids7[[#This Row],[HAListPrice]]-HearingAids7[[#This Row],[Discount Amount 2]]</f>
        <v>2332.5</v>
      </c>
      <c r="L46" s="97">
        <v>4990</v>
      </c>
      <c r="M46" s="44"/>
      <c r="N46" s="44"/>
      <c r="O46" s="44">
        <f>HearingAids7[[#This Row],[haNetPrice]]-HearingAids7[[#This Row],[Discount Amount 3]]</f>
        <v>2332.5</v>
      </c>
      <c r="P46" s="44"/>
      <c r="Q46" s="45">
        <v>1</v>
      </c>
      <c r="R46" s="45" t="s">
        <v>52</v>
      </c>
      <c r="S46" s="45">
        <v>325</v>
      </c>
      <c r="T46" s="47" t="s">
        <v>55</v>
      </c>
      <c r="U46" s="47">
        <v>0</v>
      </c>
      <c r="V46" s="47" t="s">
        <v>56</v>
      </c>
      <c r="W46" s="4"/>
      <c r="Y46" s="15"/>
      <c r="Z46" s="15"/>
      <c r="AA46" s="15"/>
      <c r="AB46"/>
      <c r="AC46"/>
      <c r="AD46"/>
      <c r="AE46"/>
    </row>
    <row r="47" spans="1:32" ht="15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7">
        <v>3839</v>
      </c>
      <c r="E47" s="44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7">
        <v>7450</v>
      </c>
      <c r="I47" s="75" t="s">
        <v>86</v>
      </c>
      <c r="J47" s="44">
        <f>(HearingAids7[[#This Row],[haMSRP]]-HearingAids7[[#This Row],[Discount Amount 1]])-(HearingAids7[[#This Row],[haNetPriceBinural]]-HearingAids7[[#This Row],[chargerPrice]])/2</f>
        <v>1230</v>
      </c>
      <c r="K47" s="44">
        <f>HearingAids7[[#This Row],[HAListPrice]]-HearingAids7[[#This Row],[Discount Amount 2]]</f>
        <v>2332.5</v>
      </c>
      <c r="L47" s="97">
        <v>4990</v>
      </c>
      <c r="M47" s="44"/>
      <c r="N47" s="44"/>
      <c r="O47" s="44">
        <f>HearingAids7[[#This Row],[haNetPrice]]-HearingAids7[[#This Row],[Discount Amount 3]]</f>
        <v>2332.5</v>
      </c>
      <c r="P47" s="44"/>
      <c r="Q47" s="45">
        <v>1</v>
      </c>
      <c r="R47" s="45" t="s">
        <v>52</v>
      </c>
      <c r="S47" s="45">
        <v>325</v>
      </c>
      <c r="T47" s="47" t="s">
        <v>55</v>
      </c>
      <c r="U47" s="47">
        <v>0</v>
      </c>
      <c r="V47" s="47" t="s">
        <v>56</v>
      </c>
      <c r="W47" s="4"/>
      <c r="Y47" s="15"/>
      <c r="Z47" s="15"/>
      <c r="AA47" s="15"/>
      <c r="AB47"/>
      <c r="AC47"/>
      <c r="AD47"/>
      <c r="AE47"/>
    </row>
    <row r="48" spans="1:32" ht="15">
      <c r="A48" s="41" t="s">
        <v>57</v>
      </c>
      <c r="B48" s="88" t="s">
        <v>58</v>
      </c>
      <c r="C48" s="42">
        <f>(HearingAids7[[#This Row],[haMSRP]]*2)+HearingAids7[[#This Row],[chargerPrice]]</f>
        <v>8003</v>
      </c>
      <c r="D48" s="97">
        <v>3839</v>
      </c>
      <c r="E48" s="44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7">
        <v>7450</v>
      </c>
      <c r="I48" s="75" t="s">
        <v>88</v>
      </c>
      <c r="J48" s="44">
        <f>(HearingAids7[[#This Row],[haMSRP]]-HearingAids7[[#This Row],[Discount Amount 1]])-(HearingAids7[[#This Row],[haNetPriceBinural]]-HearingAids7[[#This Row],[chargerPrice]])/2</f>
        <v>1230</v>
      </c>
      <c r="K48" s="44">
        <f>HearingAids7[[#This Row],[HAListPrice]]-HearingAids7[[#This Row],[Discount Amount 2]]</f>
        <v>2332.5</v>
      </c>
      <c r="L48" s="97">
        <v>4990</v>
      </c>
      <c r="M48" s="44"/>
      <c r="N48" s="44"/>
      <c r="O48" s="44">
        <f>HearingAids7[[#This Row],[haNetPrice]]-HearingAids7[[#This Row],[Discount Amount 3]]</f>
        <v>2332.5</v>
      </c>
      <c r="P48" s="44"/>
      <c r="Q48" s="45">
        <v>1</v>
      </c>
      <c r="R48" s="45" t="s">
        <v>52</v>
      </c>
      <c r="S48" s="45">
        <v>325</v>
      </c>
      <c r="T48" s="47" t="s">
        <v>55</v>
      </c>
      <c r="U48" s="47">
        <v>0</v>
      </c>
      <c r="V48" s="47" t="s">
        <v>56</v>
      </c>
      <c r="W48" s="4"/>
      <c r="Y48" s="15"/>
      <c r="Z48" s="15"/>
      <c r="AA48" s="15"/>
      <c r="AB48"/>
      <c r="AC48"/>
      <c r="AD48"/>
      <c r="AE48"/>
    </row>
    <row r="49" spans="1:31" ht="15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7">
        <v>3839</v>
      </c>
      <c r="E49" s="44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7">
        <v>7450</v>
      </c>
      <c r="I49" s="53" t="s">
        <v>45</v>
      </c>
      <c r="J49" s="44">
        <v>0</v>
      </c>
      <c r="K49" s="44">
        <f>HearingAids7[[#This Row],[HAListPrice]]-HearingAids7[[#This Row],[Discount Amount 2]]</f>
        <v>3562.5</v>
      </c>
      <c r="L49" s="98">
        <f>HearingAids7[[#This Row],[ListPriceBinural]]</f>
        <v>7450</v>
      </c>
      <c r="M49" s="44"/>
      <c r="N49" s="44"/>
      <c r="O49" s="44"/>
      <c r="P49" s="44"/>
      <c r="Q49" s="45">
        <v>1</v>
      </c>
      <c r="R49" s="44" t="s">
        <v>52</v>
      </c>
      <c r="S49" s="44">
        <v>325</v>
      </c>
      <c r="T49" s="47" t="s">
        <v>55</v>
      </c>
      <c r="U49" s="47">
        <v>0</v>
      </c>
      <c r="V49" s="47" t="s">
        <v>56</v>
      </c>
      <c r="W49" s="4"/>
      <c r="Y49" s="15"/>
      <c r="Z49" s="15"/>
      <c r="AA49" s="15"/>
      <c r="AB49"/>
      <c r="AC49"/>
      <c r="AD49"/>
      <c r="AE49"/>
    </row>
    <row r="50" spans="1:31" ht="15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7">
        <v>3839</v>
      </c>
      <c r="E50" s="44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7">
        <v>7450</v>
      </c>
      <c r="I50" s="75" t="s">
        <v>73</v>
      </c>
      <c r="J50" s="44">
        <f>(HearingAids7[[#This Row],[haMSRP]]-HearingAids7[[#This Row],[Discount Amount 1]])-(HearingAids7[[#This Row],[haNetPriceBinural]]-HearingAids7[[#This Row],[chargerPrice]])/2</f>
        <v>0</v>
      </c>
      <c r="K50" s="44">
        <f>HearingAids7[[#This Row],[HAListPrice]]-HearingAids7[[#This Row],[Discount Amount 2]]</f>
        <v>3562.5</v>
      </c>
      <c r="L50" s="97">
        <v>7450</v>
      </c>
      <c r="M50" s="44"/>
      <c r="N50" s="44"/>
      <c r="O50" s="44"/>
      <c r="P50" s="44"/>
      <c r="Q50" s="45">
        <v>1</v>
      </c>
      <c r="R50" s="45" t="s">
        <v>52</v>
      </c>
      <c r="S50" s="90">
        <v>325</v>
      </c>
      <c r="T50" s="47" t="s">
        <v>55</v>
      </c>
      <c r="U50" s="47">
        <v>0</v>
      </c>
      <c r="V50" s="47" t="s">
        <v>56</v>
      </c>
      <c r="W50" s="4"/>
      <c r="Y50" s="15"/>
      <c r="Z50" s="15"/>
      <c r="AA50" s="15"/>
      <c r="AB50"/>
      <c r="AC50"/>
      <c r="AD50"/>
      <c r="AE50"/>
    </row>
    <row r="51" spans="1:31" ht="15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7">
        <v>3839</v>
      </c>
      <c r="E51" s="44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7">
        <v>7450</v>
      </c>
      <c r="I51" s="53" t="s">
        <v>80</v>
      </c>
      <c r="J51" s="44">
        <f>(HearingAids7[[#This Row],[haMSRP]]-HearingAids7[[#This Row],[Discount Amount 1]])-(HearingAids7[[#This Row],[haNetPriceBinural]]-HearingAids7[[#This Row],[chargerPrice]])/2</f>
        <v>500</v>
      </c>
      <c r="K51" s="44">
        <f>HearingAids7[[#This Row],[HAListPrice]]-HearingAids7[[#This Row],[Discount Amount 2]]</f>
        <v>3062.5</v>
      </c>
      <c r="L51" s="97">
        <f>HearingAids7[[#This Row],[ListPriceBinural]]-1000</f>
        <v>6450</v>
      </c>
      <c r="M51" s="44"/>
      <c r="N51" s="44"/>
      <c r="O51" s="44"/>
      <c r="P51" s="44"/>
      <c r="Q51" s="45">
        <v>1</v>
      </c>
      <c r="R51" s="44" t="s">
        <v>52</v>
      </c>
      <c r="S51" s="44">
        <v>325</v>
      </c>
      <c r="T51" s="47" t="s">
        <v>55</v>
      </c>
      <c r="U51" s="47">
        <v>0</v>
      </c>
      <c r="V51" s="47" t="s">
        <v>56</v>
      </c>
      <c r="W51" s="4"/>
      <c r="Y51" s="15"/>
      <c r="Z51" s="15"/>
      <c r="AA51" s="15"/>
      <c r="AB51"/>
      <c r="AC51"/>
      <c r="AD51"/>
      <c r="AE51"/>
    </row>
    <row r="52" spans="1:31" ht="15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7">
        <v>3839</v>
      </c>
      <c r="E52" s="44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7">
        <v>7450</v>
      </c>
      <c r="I52" s="53" t="s">
        <v>83</v>
      </c>
      <c r="J52" s="44">
        <f>((HearingAids7[[#This Row],[haMSRP]]-HearingAids7[[#This Row],[Discount Amount 1]])-(HearingAids7[[#This Row],[haNetPriceBinural]]-HearingAids7[[#This Row],[chargerPrice]])/2)</f>
        <v>825</v>
      </c>
      <c r="K52" s="44">
        <f>HearingAids7[[#This Row],[HAListPrice]]-HearingAids7[[#This Row],[Discount Amount 2]]</f>
        <v>2737.5</v>
      </c>
      <c r="L52" s="97">
        <v>5800</v>
      </c>
      <c r="M52" s="53"/>
      <c r="N52" s="44"/>
      <c r="O52" s="99"/>
      <c r="P52" s="44"/>
      <c r="Q52" s="45">
        <v>1</v>
      </c>
      <c r="R52" s="44" t="s">
        <v>52</v>
      </c>
      <c r="S52" s="44">
        <v>325</v>
      </c>
      <c r="T52" s="93" t="s">
        <v>55</v>
      </c>
      <c r="U52" s="20">
        <v>0</v>
      </c>
      <c r="V52" s="95" t="s">
        <v>56</v>
      </c>
      <c r="W52" s="4"/>
      <c r="Y52" s="15"/>
      <c r="Z52" s="15"/>
      <c r="AA52" s="15"/>
      <c r="AB52"/>
      <c r="AC52"/>
      <c r="AD52"/>
      <c r="AE52"/>
    </row>
    <row r="53" spans="1:31" ht="15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7">
        <v>5039</v>
      </c>
      <c r="E53" s="44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7">
        <v>8550</v>
      </c>
      <c r="I53" s="53" t="s">
        <v>45</v>
      </c>
      <c r="J53" s="44">
        <v>0</v>
      </c>
      <c r="K53" s="44">
        <f>HearingAids7[[#This Row],[HAListPrice]]-HearingAids7[[#This Row],[Discount Amount 2]]</f>
        <v>4112.5</v>
      </c>
      <c r="L53" s="97">
        <f>HearingAids7[[#This Row],[ListPriceBinural]]</f>
        <v>8550</v>
      </c>
      <c r="M53" s="44"/>
      <c r="N53" s="44"/>
      <c r="O53" s="44"/>
      <c r="P53" s="44"/>
      <c r="Q53" s="45">
        <v>1</v>
      </c>
      <c r="R53" s="44" t="s">
        <v>52</v>
      </c>
      <c r="S53" s="44">
        <v>325</v>
      </c>
      <c r="T53" s="47" t="s">
        <v>55</v>
      </c>
      <c r="U53" s="47">
        <v>0</v>
      </c>
      <c r="V53" s="47" t="s">
        <v>56</v>
      </c>
      <c r="W53" s="4"/>
      <c r="Y53" s="15"/>
      <c r="Z53" s="15"/>
      <c r="AA53" s="15"/>
      <c r="AB53"/>
      <c r="AC53"/>
      <c r="AD53"/>
      <c r="AE53"/>
    </row>
    <row r="54" spans="1:31" ht="15">
      <c r="A54" s="41" t="s">
        <v>59</v>
      </c>
      <c r="B54" s="88" t="s">
        <v>60</v>
      </c>
      <c r="C54" s="42">
        <f>(HearingAids7[[#This Row],[haMSRP]]*2)+HearingAids7[[#This Row],[chargerPrice]]</f>
        <v>10403</v>
      </c>
      <c r="D54" s="97">
        <v>5039</v>
      </c>
      <c r="E54" s="44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7">
        <v>8550</v>
      </c>
      <c r="I54" s="75" t="s">
        <v>64</v>
      </c>
      <c r="J54" s="44">
        <f>(HearingAids7[[#This Row],[haMSRP]]-HearingAids7[[#This Row],[Discount Amount 1]])-(HearingAids7[[#This Row],[haNetPriceBinural]]-HearingAids7[[#This Row],[chargerPrice]])/2</f>
        <v>1380</v>
      </c>
      <c r="K54" s="44">
        <f>HearingAids7[[#This Row],[HAListPrice]]-HearingAids7[[#This Row],[Discount Amount 2]]</f>
        <v>2732.5</v>
      </c>
      <c r="L54" s="97">
        <v>5790</v>
      </c>
      <c r="M54" s="44"/>
      <c r="N54" s="44">
        <f>((HearingAids7[[#This Row],[haNetPriceBinural]]-HearingAids7[[#This Row],[chargerPrice]])/2)-HearingAids7[[#This Row],[haNetPriceBinural2]]</f>
        <v>2732.5</v>
      </c>
      <c r="O54" s="44">
        <f>HearingAids7[[#This Row],[haNetPrice]]-HearingAids7[[#This Row],[Discount Amount 3]]</f>
        <v>0</v>
      </c>
      <c r="P54" s="44"/>
      <c r="Q54" s="45">
        <v>1</v>
      </c>
      <c r="R54" s="45" t="s">
        <v>52</v>
      </c>
      <c r="S54" s="45">
        <v>325</v>
      </c>
      <c r="T54" s="47" t="s">
        <v>55</v>
      </c>
      <c r="U54" s="47">
        <v>0</v>
      </c>
      <c r="V54" s="47" t="s">
        <v>56</v>
      </c>
      <c r="W54" s="4"/>
      <c r="Y54" s="15"/>
      <c r="Z54" s="15"/>
      <c r="AA54" s="15"/>
      <c r="AB54"/>
      <c r="AC54"/>
      <c r="AD54"/>
      <c r="AE54"/>
    </row>
    <row r="55" spans="1:31" ht="15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7">
        <v>5039</v>
      </c>
      <c r="E55" s="44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7">
        <v>8550</v>
      </c>
      <c r="I55" s="75" t="s">
        <v>74</v>
      </c>
      <c r="J55" s="44">
        <f>(HearingAids7[[#This Row],[haMSRP]]-HearingAids7[[#This Row],[Discount Amount 1]])-(HearingAids7[[#This Row],[haNetPriceBinural]]-HearingAids7[[#This Row],[chargerPrice]])/2</f>
        <v>1280</v>
      </c>
      <c r="K55" s="44">
        <f>HearingAids7[[#This Row],[HAListPrice]]-HearingAids7[[#This Row],[Discount Amount 2]]</f>
        <v>2832.5</v>
      </c>
      <c r="L55" s="97">
        <v>5990</v>
      </c>
      <c r="M55" s="44"/>
      <c r="N55" s="44"/>
      <c r="O55" s="44"/>
      <c r="P55" s="44"/>
      <c r="Q55" s="45">
        <v>1</v>
      </c>
      <c r="R55" s="45" t="s">
        <v>52</v>
      </c>
      <c r="S55" s="90">
        <v>325</v>
      </c>
      <c r="T55" s="47" t="s">
        <v>55</v>
      </c>
      <c r="U55" s="47">
        <v>0</v>
      </c>
      <c r="V55" s="47" t="s">
        <v>56</v>
      </c>
      <c r="W55" s="4"/>
      <c r="Y55" s="15"/>
      <c r="Z55" s="15"/>
      <c r="AA55" s="15"/>
      <c r="AB55"/>
      <c r="AC55"/>
      <c r="AD55"/>
      <c r="AE55"/>
    </row>
    <row r="56" spans="1:31" ht="15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7">
        <v>5039</v>
      </c>
      <c r="E56" s="44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7">
        <v>8550</v>
      </c>
      <c r="I56" s="53" t="s">
        <v>75</v>
      </c>
      <c r="J56" s="44">
        <f>(HearingAids7[[#This Row],[haMSRP]]-HearingAids7[[#This Row],[Discount Amount 1]])-(HearingAids7[[#This Row],[haNetPriceBinural]]-HearingAids7[[#This Row],[chargerPrice]])/2</f>
        <v>100</v>
      </c>
      <c r="K56" s="44">
        <f>HearingAids7[[#This Row],[HAListPrice]]-HearingAids7[[#This Row],[Discount Amount 2]]</f>
        <v>4012.5</v>
      </c>
      <c r="L56" s="97">
        <v>8350</v>
      </c>
      <c r="M56" s="44"/>
      <c r="N56" s="44"/>
      <c r="O56" s="44"/>
      <c r="P56" s="44"/>
      <c r="Q56" s="45">
        <v>1</v>
      </c>
      <c r="R56" s="44" t="s">
        <v>52</v>
      </c>
      <c r="S56" s="44">
        <v>325</v>
      </c>
      <c r="T56" s="47" t="s">
        <v>55</v>
      </c>
      <c r="U56" s="47">
        <v>0</v>
      </c>
      <c r="V56" s="47" t="s">
        <v>56</v>
      </c>
      <c r="W56" s="4"/>
      <c r="Y56" s="15"/>
      <c r="Z56" s="15"/>
      <c r="AA56" s="15"/>
      <c r="AB56"/>
      <c r="AC56"/>
      <c r="AD56"/>
      <c r="AE56"/>
    </row>
    <row r="57" spans="1:31" ht="15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7">
        <v>5039</v>
      </c>
      <c r="E57" s="44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7">
        <v>8550</v>
      </c>
      <c r="I57" s="75" t="s">
        <v>76</v>
      </c>
      <c r="J57" s="44">
        <f>(HearingAids7[[#This Row],[haMSRP]]-HearingAids7[[#This Row],[Discount Amount 1]])-(HearingAids7[[#This Row],[haNetPriceBinural]]-HearingAids7[[#This Row],[chargerPrice]])/2</f>
        <v>1380</v>
      </c>
      <c r="K57" s="44">
        <f>HearingAids7[[#This Row],[HAListPrice]]-HearingAids7[[#This Row],[Discount Amount 2]]</f>
        <v>2732.5</v>
      </c>
      <c r="L57" s="97">
        <v>5790</v>
      </c>
      <c r="M57" s="44"/>
      <c r="N57" s="44">
        <f>((HearingAids7[[#This Row],[haNetPriceBinural]]-HearingAids7[[#This Row],[chargerPrice]])/2)-HearingAids7[[#This Row],[haNetPriceBinural2]]</f>
        <v>2732.5</v>
      </c>
      <c r="O57" s="44">
        <f>HearingAids7[[#This Row],[haNetPrice]]-HearingAids7[[#This Row],[Discount Amount 3]]</f>
        <v>0</v>
      </c>
      <c r="P57" s="44"/>
      <c r="Q57" s="45">
        <v>1</v>
      </c>
      <c r="R57" s="45" t="s">
        <v>52</v>
      </c>
      <c r="S57" s="45">
        <v>325</v>
      </c>
      <c r="T57" s="47" t="s">
        <v>55</v>
      </c>
      <c r="U57" s="47">
        <v>0</v>
      </c>
      <c r="V57" s="47" t="s">
        <v>56</v>
      </c>
      <c r="W57" s="4"/>
      <c r="Y57" s="15"/>
      <c r="Z57" s="15"/>
      <c r="AA57" s="15"/>
      <c r="AB57"/>
      <c r="AC57"/>
      <c r="AD57"/>
      <c r="AE57"/>
    </row>
    <row r="58" spans="1:31" ht="15">
      <c r="A58" s="41" t="s">
        <v>59</v>
      </c>
      <c r="B58" s="88" t="s">
        <v>60</v>
      </c>
      <c r="C58" s="42">
        <f>(HearingAids7[[#This Row],[haMSRP]]*2)+HearingAids7[[#This Row],[chargerPrice]]</f>
        <v>10403</v>
      </c>
      <c r="D58" s="97">
        <v>5039</v>
      </c>
      <c r="E58" s="44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7">
        <v>8550</v>
      </c>
      <c r="I58" s="75" t="s">
        <v>77</v>
      </c>
      <c r="J58" s="44">
        <f>(HearingAids7[[#This Row],[haMSRP]]-HearingAids7[[#This Row],[Discount Amount 1]])-(HearingAids7[[#This Row],[haNetPriceBinural]]-HearingAids7[[#This Row],[chargerPrice]])/2</f>
        <v>1380</v>
      </c>
      <c r="K58" s="44">
        <f>HearingAids7[[#This Row],[HAListPrice]]-HearingAids7[[#This Row],[Discount Amount 2]]</f>
        <v>2732.5</v>
      </c>
      <c r="L58" s="97">
        <v>5790</v>
      </c>
      <c r="M58" s="44"/>
      <c r="N58" s="44">
        <f>((HearingAids7[[#This Row],[haNetPriceBinural]]-HearingAids7[[#This Row],[chargerPrice]])/2)-HearingAids7[[#This Row],[haNetPriceBinural2]]</f>
        <v>2732.5</v>
      </c>
      <c r="O58" s="44">
        <f>HearingAids7[[#This Row],[haNetPrice]]-HearingAids7[[#This Row],[Discount Amount 3]]</f>
        <v>0</v>
      </c>
      <c r="P58" s="44"/>
      <c r="Q58" s="45">
        <v>1</v>
      </c>
      <c r="R58" s="45" t="s">
        <v>52</v>
      </c>
      <c r="S58" s="45">
        <v>325</v>
      </c>
      <c r="T58" s="47" t="s">
        <v>55</v>
      </c>
      <c r="U58" s="47">
        <v>0</v>
      </c>
      <c r="V58" s="47" t="s">
        <v>56</v>
      </c>
      <c r="W58" s="4"/>
      <c r="Y58" s="15"/>
      <c r="Z58" s="15"/>
      <c r="AA58" s="15"/>
      <c r="AB58"/>
      <c r="AC58"/>
      <c r="AD58"/>
      <c r="AE58"/>
    </row>
    <row r="59" spans="1:31" ht="15">
      <c r="A59" s="41" t="s">
        <v>59</v>
      </c>
      <c r="B59" s="88" t="s">
        <v>60</v>
      </c>
      <c r="C59" s="42">
        <f>(HearingAids7[[#This Row],[haMSRP]]*2)+HearingAids7[[#This Row],[chargerPrice]]</f>
        <v>10403</v>
      </c>
      <c r="D59" s="97">
        <v>5039</v>
      </c>
      <c r="E59" s="44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7">
        <v>8550</v>
      </c>
      <c r="I59" s="75" t="s">
        <v>78</v>
      </c>
      <c r="J59" s="44">
        <f>(HearingAids7[[#This Row],[haMSRP]]-HearingAids7[[#This Row],[Discount Amount 1]])-(HearingAids7[[#This Row],[haNetPriceBinural]]-HearingAids7[[#This Row],[chargerPrice]])/2</f>
        <v>1380</v>
      </c>
      <c r="K59" s="44">
        <f>HearingAids7[[#This Row],[HAListPrice]]-HearingAids7[[#This Row],[Discount Amount 2]]</f>
        <v>2732.5</v>
      </c>
      <c r="L59" s="97">
        <v>5790</v>
      </c>
      <c r="M59" s="44"/>
      <c r="N59" s="44">
        <f>((HearingAids7[[#This Row],[haNetPriceBinural]]-HearingAids7[[#This Row],[chargerPrice]])/2)-HearingAids7[[#This Row],[haNetPriceBinural2]]</f>
        <v>2732.5</v>
      </c>
      <c r="O59" s="44">
        <f>HearingAids7[[#This Row],[haNetPrice]]-HearingAids7[[#This Row],[Discount Amount 3]]</f>
        <v>0</v>
      </c>
      <c r="P59" s="44"/>
      <c r="Q59" s="45">
        <v>1</v>
      </c>
      <c r="R59" s="45" t="s">
        <v>52</v>
      </c>
      <c r="S59" s="45">
        <v>325</v>
      </c>
      <c r="T59" s="47" t="s">
        <v>55</v>
      </c>
      <c r="U59" s="47">
        <v>0</v>
      </c>
      <c r="V59" s="47" t="s">
        <v>56</v>
      </c>
      <c r="W59" s="4"/>
      <c r="Y59" s="15"/>
      <c r="Z59" s="15"/>
      <c r="AA59" s="15"/>
      <c r="AB59"/>
      <c r="AC59"/>
      <c r="AD59"/>
      <c r="AE59"/>
    </row>
    <row r="60" spans="1:31" ht="15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7">
        <v>5039</v>
      </c>
      <c r="E60" s="44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7">
        <v>8550</v>
      </c>
      <c r="I60" s="53" t="s">
        <v>80</v>
      </c>
      <c r="J60" s="44">
        <f>(HearingAids7[[#This Row],[haMSRP]]-HearingAids7[[#This Row],[Discount Amount 1]])-(HearingAids7[[#This Row],[haNetPriceBinural]]-HearingAids7[[#This Row],[chargerPrice]])/2</f>
        <v>500</v>
      </c>
      <c r="K60" s="44">
        <f>HearingAids7[[#This Row],[HAListPrice]]-HearingAids7[[#This Row],[Discount Amount 2]]</f>
        <v>3612.5</v>
      </c>
      <c r="L60" s="97">
        <f>HearingAids7[[#This Row],[ListPriceBinural]]-1000</f>
        <v>7550</v>
      </c>
      <c r="M60" s="44"/>
      <c r="N60" s="44"/>
      <c r="O60" s="44"/>
      <c r="P60" s="44"/>
      <c r="Q60" s="45">
        <v>1</v>
      </c>
      <c r="R60" s="44" t="s">
        <v>52</v>
      </c>
      <c r="S60" s="44">
        <v>325</v>
      </c>
      <c r="T60" s="47" t="s">
        <v>55</v>
      </c>
      <c r="U60" s="47">
        <v>0</v>
      </c>
      <c r="V60" s="47" t="s">
        <v>56</v>
      </c>
      <c r="W60" s="4"/>
      <c r="Y60" s="15"/>
      <c r="Z60" s="15"/>
      <c r="AA60" s="15"/>
      <c r="AB60"/>
      <c r="AC60"/>
      <c r="AD60"/>
      <c r="AE60"/>
    </row>
    <row r="61" spans="1:31" ht="15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7">
        <v>5039</v>
      </c>
      <c r="E61" s="44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7">
        <v>8550</v>
      </c>
      <c r="I61" s="75" t="s">
        <v>81</v>
      </c>
      <c r="J61" s="44">
        <f>(HearingAids7[[#This Row],[haMSRP]]-HearingAids7[[#This Row],[Discount Amount 1]])-(HearingAids7[[#This Row],[haNetPriceBinural]]-HearingAids7[[#This Row],[chargerPrice]])/2</f>
        <v>1380</v>
      </c>
      <c r="K61" s="44">
        <f>HearingAids7[[#This Row],[HAListPrice]]-HearingAids7[[#This Row],[Discount Amount 2]]</f>
        <v>2732.5</v>
      </c>
      <c r="L61" s="97">
        <v>5790</v>
      </c>
      <c r="M61" s="44"/>
      <c r="N61" s="44"/>
      <c r="O61" s="44">
        <f>HearingAids7[[#This Row],[haNetPrice]]-HearingAids7[[#This Row],[Discount Amount 3]]</f>
        <v>2732.5</v>
      </c>
      <c r="P61" s="44"/>
      <c r="Q61" s="45">
        <v>1</v>
      </c>
      <c r="R61" s="45" t="s">
        <v>52</v>
      </c>
      <c r="S61" s="45">
        <v>325</v>
      </c>
      <c r="T61" s="47" t="s">
        <v>55</v>
      </c>
      <c r="U61" s="47">
        <v>0</v>
      </c>
      <c r="V61" s="47" t="s">
        <v>56</v>
      </c>
      <c r="W61" s="4"/>
      <c r="Y61" s="15"/>
      <c r="Z61" s="15"/>
      <c r="AA61" s="15"/>
      <c r="AB61"/>
      <c r="AC61"/>
      <c r="AD61"/>
      <c r="AE61"/>
    </row>
    <row r="62" spans="1:31" ht="15">
      <c r="A62" s="41" t="s">
        <v>59</v>
      </c>
      <c r="B62" s="88" t="s">
        <v>60</v>
      </c>
      <c r="C62" s="42">
        <f>(HearingAids7[[#This Row],[haMSRP]]*2)+HearingAids7[[#This Row],[chargerPrice]]</f>
        <v>10403</v>
      </c>
      <c r="D62" s="97">
        <v>5039</v>
      </c>
      <c r="E62" s="44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7">
        <v>8550</v>
      </c>
      <c r="I62" s="75" t="s">
        <v>82</v>
      </c>
      <c r="J62" s="44">
        <f>(HearingAids7[[#This Row],[haMSRP]]-HearingAids7[[#This Row],[Discount Amount 1]])-(HearingAids7[[#This Row],[haNetPriceBinural]]-HearingAids7[[#This Row],[chargerPrice]])/2</f>
        <v>1380</v>
      </c>
      <c r="K62" s="44">
        <f>HearingAids7[[#This Row],[HAListPrice]]-HearingAids7[[#This Row],[Discount Amount 2]]</f>
        <v>2732.5</v>
      </c>
      <c r="L62" s="97">
        <v>5790</v>
      </c>
      <c r="M62" s="44"/>
      <c r="N62" s="44"/>
      <c r="O62" s="44">
        <f>HearingAids7[[#This Row],[haNetPrice]]-HearingAids7[[#This Row],[Discount Amount 3]]</f>
        <v>2732.5</v>
      </c>
      <c r="P62" s="44"/>
      <c r="Q62" s="45">
        <v>1</v>
      </c>
      <c r="R62" s="45" t="s">
        <v>52</v>
      </c>
      <c r="S62" s="45">
        <v>325</v>
      </c>
      <c r="T62" s="47" t="s">
        <v>55</v>
      </c>
      <c r="U62" s="47">
        <v>0</v>
      </c>
      <c r="V62" s="47" t="s">
        <v>56</v>
      </c>
      <c r="W62" s="4"/>
      <c r="Y62" s="15"/>
      <c r="Z62" s="15"/>
      <c r="AA62" s="15"/>
      <c r="AB62"/>
      <c r="AC62"/>
      <c r="AD62"/>
      <c r="AE62"/>
    </row>
    <row r="63" spans="1:31" ht="15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7">
        <v>5039</v>
      </c>
      <c r="E63" s="44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7">
        <v>8550</v>
      </c>
      <c r="I63" s="53" t="s">
        <v>83</v>
      </c>
      <c r="J63" s="44">
        <f>((HearingAids7[[#This Row],[haMSRP]]-HearingAids7[[#This Row],[Discount Amount 1]])-(HearingAids7[[#This Row],[haNetPriceBinural]]-HearingAids7[[#This Row],[chargerPrice]])/2)</f>
        <v>975</v>
      </c>
      <c r="K63" s="44">
        <f>HearingAids7[[#This Row],[HAListPrice]]-HearingAids7[[#This Row],[Discount Amount 2]]</f>
        <v>3137.5</v>
      </c>
      <c r="L63" s="97">
        <v>6600</v>
      </c>
      <c r="M63" s="53"/>
      <c r="N63" s="44"/>
      <c r="O63" s="99"/>
      <c r="P63" s="44"/>
      <c r="Q63" s="45">
        <v>1</v>
      </c>
      <c r="R63" s="44" t="s">
        <v>52</v>
      </c>
      <c r="S63" s="44">
        <v>325</v>
      </c>
      <c r="T63" s="93" t="s">
        <v>55</v>
      </c>
      <c r="U63" s="20">
        <v>0</v>
      </c>
      <c r="V63" s="95" t="s">
        <v>56</v>
      </c>
      <c r="W63" s="4"/>
      <c r="Y63" s="15"/>
      <c r="Z63" s="15"/>
      <c r="AA63" s="15"/>
      <c r="AB63"/>
      <c r="AC63"/>
      <c r="AD63"/>
      <c r="AE63"/>
    </row>
    <row r="64" spans="1:31" ht="15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7">
        <v>5039</v>
      </c>
      <c r="E64" s="44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7">
        <v>8550</v>
      </c>
      <c r="I64" s="75" t="s">
        <v>85</v>
      </c>
      <c r="J64" s="44">
        <f>(HearingAids7[[#This Row],[haMSRP]]-HearingAids7[[#This Row],[Discount Amount 1]])-(HearingAids7[[#This Row],[haNetPriceBinural]]-HearingAids7[[#This Row],[chargerPrice]])/2</f>
        <v>1380</v>
      </c>
      <c r="K64" s="44">
        <f>HearingAids7[[#This Row],[HAListPrice]]-HearingAids7[[#This Row],[Discount Amount 2]]</f>
        <v>2732.5</v>
      </c>
      <c r="L64" s="97">
        <v>5790</v>
      </c>
      <c r="M64" s="44"/>
      <c r="N64" s="44"/>
      <c r="O64" s="44">
        <f>HearingAids7[[#This Row],[haNetPrice]]-HearingAids7[[#This Row],[Discount Amount 3]]</f>
        <v>2732.5</v>
      </c>
      <c r="P64" s="44"/>
      <c r="Q64" s="45">
        <v>1</v>
      </c>
      <c r="R64" s="45" t="s">
        <v>52</v>
      </c>
      <c r="S64" s="45">
        <v>325</v>
      </c>
      <c r="T64" s="47" t="s">
        <v>55</v>
      </c>
      <c r="U64" s="47">
        <v>0</v>
      </c>
      <c r="V64" s="47" t="s">
        <v>56</v>
      </c>
      <c r="W64" s="4"/>
      <c r="Y64" s="15"/>
      <c r="Z64" s="15"/>
      <c r="AA64" s="15"/>
      <c r="AB64"/>
      <c r="AC64"/>
      <c r="AD64"/>
      <c r="AE64"/>
    </row>
    <row r="65" spans="1:31" ht="15">
      <c r="A65" s="41" t="s">
        <v>59</v>
      </c>
      <c r="B65" s="88" t="s">
        <v>60</v>
      </c>
      <c r="C65" s="42">
        <f>(HearingAids7[[#This Row],[haMSRP]]*2)+HearingAids7[[#This Row],[chargerPrice]]</f>
        <v>10403</v>
      </c>
      <c r="D65" s="97">
        <v>5039</v>
      </c>
      <c r="E65" s="44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7">
        <v>8550</v>
      </c>
      <c r="I65" s="75" t="s">
        <v>86</v>
      </c>
      <c r="J65" s="44">
        <f>(HearingAids7[[#This Row],[haMSRP]]-HearingAids7[[#This Row],[Discount Amount 1]])-(HearingAids7[[#This Row],[haNetPriceBinural]]-HearingAids7[[#This Row],[chargerPrice]])/2</f>
        <v>1380</v>
      </c>
      <c r="K65" s="44">
        <f>HearingAids7[[#This Row],[HAListPrice]]-HearingAids7[[#This Row],[Discount Amount 2]]</f>
        <v>2732.5</v>
      </c>
      <c r="L65" s="97">
        <v>5790</v>
      </c>
      <c r="M65" s="44"/>
      <c r="N65" s="44"/>
      <c r="O65" s="44">
        <f>HearingAids7[[#This Row],[haNetPrice]]-HearingAids7[[#This Row],[Discount Amount 3]]</f>
        <v>2732.5</v>
      </c>
      <c r="P65" s="44"/>
      <c r="Q65" s="45">
        <v>1</v>
      </c>
      <c r="R65" s="45" t="s">
        <v>52</v>
      </c>
      <c r="S65" s="45">
        <v>325</v>
      </c>
      <c r="T65" s="47" t="s">
        <v>55</v>
      </c>
      <c r="U65" s="47">
        <v>0</v>
      </c>
      <c r="V65" s="47" t="s">
        <v>56</v>
      </c>
      <c r="W65" s="4"/>
      <c r="Y65" s="15"/>
      <c r="Z65" s="15"/>
      <c r="AA65" s="15"/>
      <c r="AB65"/>
      <c r="AC65"/>
      <c r="AD65"/>
      <c r="AE65"/>
    </row>
    <row r="66" spans="1:31" ht="15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7">
        <v>5039</v>
      </c>
      <c r="E66" s="44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7">
        <v>8550</v>
      </c>
      <c r="I66" s="75" t="s">
        <v>88</v>
      </c>
      <c r="J66" s="44">
        <f>(HearingAids7[[#This Row],[haMSRP]]-HearingAids7[[#This Row],[Discount Amount 1]])-(HearingAids7[[#This Row],[haNetPriceBinural]]-HearingAids7[[#This Row],[chargerPrice]])/2</f>
        <v>1380</v>
      </c>
      <c r="K66" s="44">
        <f>HearingAids7[[#This Row],[HAListPrice]]-HearingAids7[[#This Row],[Discount Amount 2]]</f>
        <v>2732.5</v>
      </c>
      <c r="L66" s="97">
        <v>5790</v>
      </c>
      <c r="M66" s="44"/>
      <c r="N66" s="44"/>
      <c r="O66" s="44">
        <f>HearingAids7[[#This Row],[haNetPrice]]-HearingAids7[[#This Row],[Discount Amount 3]]</f>
        <v>2732.5</v>
      </c>
      <c r="P66" s="44"/>
      <c r="Q66" s="45">
        <v>1</v>
      </c>
      <c r="R66" s="45" t="s">
        <v>52</v>
      </c>
      <c r="S66" s="45">
        <v>325</v>
      </c>
      <c r="T66" s="47" t="s">
        <v>55</v>
      </c>
      <c r="U66" s="47">
        <v>0</v>
      </c>
      <c r="V66" s="47" t="s">
        <v>56</v>
      </c>
      <c r="W66" s="4"/>
      <c r="Y66" s="15"/>
      <c r="Z66" s="15"/>
      <c r="AA66" s="15"/>
      <c r="AB66"/>
      <c r="AC66"/>
      <c r="AD66"/>
      <c r="AE66"/>
    </row>
    <row r="67" spans="1:31" ht="15">
      <c r="A67" s="41" t="s">
        <v>562</v>
      </c>
      <c r="B67" s="88" t="s">
        <v>563</v>
      </c>
      <c r="C67" s="42">
        <f>(HearingAids7[[#This Row],[haMSRP]]*2)+HearingAids7[[#This Row],[chargerPrice]]</f>
        <v>12203</v>
      </c>
      <c r="D67" s="97">
        <v>5939</v>
      </c>
      <c r="E67" s="44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7">
        <v>9650</v>
      </c>
      <c r="I67" s="75" t="s">
        <v>45</v>
      </c>
      <c r="J67" s="44">
        <v>0</v>
      </c>
      <c r="K67" s="44">
        <f>HearingAids7[[#This Row],[HAListPrice]]-HearingAids7[[#This Row],[Discount Amount 2]]</f>
        <v>4662.5</v>
      </c>
      <c r="L67" s="98">
        <f>HearingAids7[[#This Row],[ListPriceBinural]]</f>
        <v>9650</v>
      </c>
      <c r="M67" s="44"/>
      <c r="N67" s="44"/>
      <c r="O67" s="44"/>
      <c r="P67" s="44"/>
      <c r="Q67" s="45">
        <v>1</v>
      </c>
      <c r="R67" s="45" t="s">
        <v>52</v>
      </c>
      <c r="S67" s="45">
        <v>325</v>
      </c>
      <c r="T67" s="47" t="s">
        <v>55</v>
      </c>
      <c r="U67" s="47">
        <v>0</v>
      </c>
      <c r="V67" s="47" t="s">
        <v>56</v>
      </c>
      <c r="W67" s="4"/>
      <c r="Y67" s="15"/>
      <c r="Z67" s="15"/>
      <c r="AA67" s="15"/>
      <c r="AB67"/>
      <c r="AC67"/>
      <c r="AD67"/>
      <c r="AE67"/>
    </row>
    <row r="68" spans="1:31" ht="15">
      <c r="A68" s="41" t="s">
        <v>564</v>
      </c>
      <c r="B68" s="88" t="s">
        <v>565</v>
      </c>
      <c r="C68" s="42">
        <f>(HearingAids7[[#This Row],[haMSRP]]*2)+HearingAids7[[#This Row],[chargerPrice]]</f>
        <v>6623</v>
      </c>
      <c r="D68" s="97">
        <v>3149</v>
      </c>
      <c r="E68" s="44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7">
        <v>5350</v>
      </c>
      <c r="I68" s="75" t="s">
        <v>45</v>
      </c>
      <c r="J68" s="44">
        <v>0</v>
      </c>
      <c r="K68" s="44">
        <f>HearingAids7[[#This Row],[HAListPrice]]-HearingAids7[[#This Row],[Discount Amount 2]]</f>
        <v>2512.5</v>
      </c>
      <c r="L68" s="98">
        <f>HearingAids7[[#This Row],[ListPriceBinural]]</f>
        <v>5350</v>
      </c>
      <c r="M68" s="44"/>
      <c r="N68" s="44"/>
      <c r="O68" s="44"/>
      <c r="P68" s="44"/>
      <c r="Q68" s="45">
        <v>1</v>
      </c>
      <c r="R68" s="45" t="s">
        <v>52</v>
      </c>
      <c r="S68" s="45">
        <v>325</v>
      </c>
      <c r="T68" s="47" t="s">
        <v>55</v>
      </c>
      <c r="U68" s="47">
        <v>0</v>
      </c>
      <c r="V68" s="47" t="s">
        <v>56</v>
      </c>
      <c r="Y68" s="15"/>
      <c r="Z68" s="15"/>
      <c r="AA68" s="15"/>
      <c r="AB68"/>
      <c r="AC68"/>
      <c r="AD68"/>
      <c r="AE68"/>
    </row>
    <row r="69" spans="1:31" ht="15">
      <c r="A69" s="41" t="s">
        <v>566</v>
      </c>
      <c r="B69" s="88" t="s">
        <v>567</v>
      </c>
      <c r="C69" s="42">
        <f>(HearingAids7[[#This Row],[haMSRP]]*2)+HearingAids7[[#This Row],[chargerPrice]]</f>
        <v>8003</v>
      </c>
      <c r="D69" s="97">
        <v>3839</v>
      </c>
      <c r="E69" s="44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7">
        <v>7450</v>
      </c>
      <c r="I69" s="75" t="s">
        <v>45</v>
      </c>
      <c r="J69" s="44">
        <v>0</v>
      </c>
      <c r="K69" s="44">
        <f>HearingAids7[[#This Row],[HAListPrice]]-HearingAids7[[#This Row],[Discount Amount 2]]</f>
        <v>3562.5</v>
      </c>
      <c r="L69" s="98">
        <f>HearingAids7[[#This Row],[ListPriceBinural]]</f>
        <v>7450</v>
      </c>
      <c r="M69" s="44"/>
      <c r="N69" s="44"/>
      <c r="O69" s="44"/>
      <c r="P69" s="44"/>
      <c r="Q69" s="45">
        <v>1</v>
      </c>
      <c r="R69" s="45" t="s">
        <v>52</v>
      </c>
      <c r="S69" s="45">
        <v>325</v>
      </c>
      <c r="T69" s="47" t="s">
        <v>55</v>
      </c>
      <c r="U69" s="47">
        <v>0</v>
      </c>
      <c r="V69" s="47" t="s">
        <v>56</v>
      </c>
      <c r="Y69" s="15"/>
      <c r="Z69" s="15"/>
      <c r="AA69" s="15"/>
      <c r="AB69"/>
      <c r="AC69"/>
      <c r="AD69"/>
      <c r="AE69"/>
    </row>
    <row r="70" spans="1:31" ht="15">
      <c r="A70" s="41" t="s">
        <v>568</v>
      </c>
      <c r="B70" s="88" t="s">
        <v>569</v>
      </c>
      <c r="C70" s="42">
        <f>(HearingAids7[[#This Row],[haMSRP]]*2)+HearingAids7[[#This Row],[chargerPrice]]</f>
        <v>10403</v>
      </c>
      <c r="D70" s="97">
        <v>5039</v>
      </c>
      <c r="E70" s="44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7">
        <v>8550</v>
      </c>
      <c r="I70" s="75" t="s">
        <v>45</v>
      </c>
      <c r="J70" s="44">
        <v>0</v>
      </c>
      <c r="K70" s="44">
        <f>HearingAids7[[#This Row],[HAListPrice]]-HearingAids7[[#This Row],[Discount Amount 2]]</f>
        <v>4112.5</v>
      </c>
      <c r="L70" s="98">
        <f>HearingAids7[[#This Row],[ListPriceBinural]]</f>
        <v>8550</v>
      </c>
      <c r="M70" s="44"/>
      <c r="N70" s="44"/>
      <c r="O70" s="44"/>
      <c r="P70" s="44"/>
      <c r="Q70" s="45">
        <v>1</v>
      </c>
      <c r="R70" s="45" t="s">
        <v>52</v>
      </c>
      <c r="S70" s="45">
        <v>325</v>
      </c>
      <c r="T70" s="47" t="s">
        <v>55</v>
      </c>
      <c r="U70" s="47">
        <v>0</v>
      </c>
      <c r="V70" s="47" t="s">
        <v>56</v>
      </c>
      <c r="Y70" s="15"/>
      <c r="Z70" s="15"/>
      <c r="AA70" s="15"/>
      <c r="AB70"/>
      <c r="AC70"/>
      <c r="AD70"/>
      <c r="AE70"/>
    </row>
    <row r="71" spans="1:31" ht="15">
      <c r="A71" s="41" t="s">
        <v>562</v>
      </c>
      <c r="B71" s="88" t="s">
        <v>563</v>
      </c>
      <c r="C71" s="42">
        <f>(HearingAids7[[#This Row],[haMSRP]]*2)+HearingAids7[[#This Row],[chargerPrice]]</f>
        <v>12203</v>
      </c>
      <c r="D71" s="97">
        <v>5939</v>
      </c>
      <c r="E71" s="44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7">
        <v>9650</v>
      </c>
      <c r="I71" s="75" t="s">
        <v>80</v>
      </c>
      <c r="J71" s="44">
        <v>500</v>
      </c>
      <c r="K71" s="44">
        <f>HearingAids7[[#This Row],[HAListPrice]]-HearingAids7[[#This Row],[Discount Amount 2]]</f>
        <v>4162.5</v>
      </c>
      <c r="L71" s="98">
        <f>HearingAids7[[#This Row],[ListPriceBinural]]-1000</f>
        <v>8650</v>
      </c>
      <c r="M71" s="44"/>
      <c r="N71" s="44"/>
      <c r="O71" s="44"/>
      <c r="P71" s="44"/>
      <c r="Q71" s="45">
        <v>1</v>
      </c>
      <c r="R71" s="45" t="s">
        <v>52</v>
      </c>
      <c r="S71" s="45">
        <v>325</v>
      </c>
      <c r="T71" s="47" t="s">
        <v>55</v>
      </c>
      <c r="U71" s="47">
        <v>0</v>
      </c>
      <c r="V71" s="47" t="s">
        <v>56</v>
      </c>
      <c r="Y71" s="15"/>
      <c r="Z71" s="15"/>
      <c r="AA71" s="15"/>
      <c r="AB71"/>
      <c r="AC71"/>
      <c r="AD71"/>
      <c r="AE71"/>
    </row>
    <row r="72" spans="1:31" ht="15">
      <c r="A72" s="41" t="s">
        <v>566</v>
      </c>
      <c r="B72" s="88" t="s">
        <v>567</v>
      </c>
      <c r="C72" s="42">
        <f>(HearingAids7[[#This Row],[haMSRP]]*2)+HearingAids7[[#This Row],[chargerPrice]]</f>
        <v>8003</v>
      </c>
      <c r="D72" s="97">
        <v>3839</v>
      </c>
      <c r="E72" s="44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7">
        <v>7450</v>
      </c>
      <c r="I72" s="75" t="s">
        <v>80</v>
      </c>
      <c r="J72" s="44">
        <v>500</v>
      </c>
      <c r="K72" s="44">
        <f>HearingAids7[[#This Row],[HAListPrice]]-HearingAids7[[#This Row],[Discount Amount 2]]</f>
        <v>3062.5</v>
      </c>
      <c r="L72" s="98">
        <f>HearingAids7[[#This Row],[ListPriceBinural]]-1000</f>
        <v>6450</v>
      </c>
      <c r="M72" s="44"/>
      <c r="N72" s="44"/>
      <c r="O72" s="44"/>
      <c r="P72" s="44"/>
      <c r="Q72" s="45">
        <v>1</v>
      </c>
      <c r="R72" s="45" t="s">
        <v>52</v>
      </c>
      <c r="S72" s="45">
        <v>325</v>
      </c>
      <c r="T72" s="47" t="s">
        <v>55</v>
      </c>
      <c r="U72" s="47">
        <v>0</v>
      </c>
      <c r="V72" s="47" t="s">
        <v>56</v>
      </c>
      <c r="Y72" s="15"/>
      <c r="Z72" s="15"/>
      <c r="AA72" s="15"/>
      <c r="AB72"/>
      <c r="AC72"/>
      <c r="AD72"/>
      <c r="AE72"/>
    </row>
    <row r="73" spans="1:31" ht="15">
      <c r="A73" s="41" t="s">
        <v>568</v>
      </c>
      <c r="B73" s="88" t="s">
        <v>569</v>
      </c>
      <c r="C73" s="42">
        <f>(HearingAids7[[#This Row],[haMSRP]]*2)+HearingAids7[[#This Row],[chargerPrice]]</f>
        <v>10403</v>
      </c>
      <c r="D73" s="97">
        <v>5039</v>
      </c>
      <c r="E73" s="44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7">
        <v>8550</v>
      </c>
      <c r="I73" s="75" t="s">
        <v>80</v>
      </c>
      <c r="J73" s="44">
        <v>500</v>
      </c>
      <c r="K73" s="44">
        <f>HearingAids7[[#This Row],[HAListPrice]]-HearingAids7[[#This Row],[Discount Amount 2]]</f>
        <v>3612.5</v>
      </c>
      <c r="L73" s="98">
        <f>HearingAids7[[#This Row],[ListPriceBinural]]-1000</f>
        <v>7550</v>
      </c>
      <c r="M73" s="44"/>
      <c r="N73" s="44"/>
      <c r="O73" s="44"/>
      <c r="P73" s="44"/>
      <c r="Q73" s="45">
        <v>1</v>
      </c>
      <c r="R73" s="45" t="s">
        <v>52</v>
      </c>
      <c r="S73" s="45">
        <v>325</v>
      </c>
      <c r="T73" s="47" t="s">
        <v>55</v>
      </c>
      <c r="U73" s="47">
        <v>0</v>
      </c>
      <c r="V73" s="47" t="s">
        <v>56</v>
      </c>
      <c r="W73" s="4"/>
      <c r="Y73" s="15"/>
      <c r="Z73" s="15"/>
      <c r="AA73" s="15"/>
      <c r="AB73"/>
      <c r="AC73"/>
      <c r="AD73"/>
      <c r="AE73"/>
    </row>
    <row r="74" spans="1:31" ht="15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7">
        <v>5939</v>
      </c>
      <c r="E74" s="44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7">
        <v>9650</v>
      </c>
      <c r="I74" s="75" t="s">
        <v>83</v>
      </c>
      <c r="J74" s="44">
        <v>925</v>
      </c>
      <c r="K74" s="44">
        <f>HearingAids7[[#This Row],[HAListPrice]]-HearingAids7[[#This Row],[Discount Amount 2]]</f>
        <v>3737.5</v>
      </c>
      <c r="L74" s="98">
        <v>8200</v>
      </c>
      <c r="M74" s="75"/>
      <c r="N74" s="44"/>
      <c r="O74" s="75"/>
      <c r="P74" s="44"/>
      <c r="Q74" s="45">
        <v>1</v>
      </c>
      <c r="R74" s="45" t="s">
        <v>52</v>
      </c>
      <c r="S74" s="45">
        <v>325</v>
      </c>
      <c r="T74" s="47" t="s">
        <v>55</v>
      </c>
      <c r="U74" s="47">
        <v>0</v>
      </c>
      <c r="V74" s="47" t="s">
        <v>56</v>
      </c>
      <c r="Y74" s="15"/>
      <c r="Z74" s="15"/>
      <c r="AA74" s="15"/>
      <c r="AB74"/>
      <c r="AC74"/>
      <c r="AD74"/>
      <c r="AE74"/>
    </row>
    <row r="75" spans="1:31" ht="15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7">
        <v>3839</v>
      </c>
      <c r="E75" s="44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7">
        <v>7450</v>
      </c>
      <c r="I75" s="75" t="s">
        <v>83</v>
      </c>
      <c r="J75" s="44">
        <v>525</v>
      </c>
      <c r="K75" s="44">
        <f>HearingAids7[[#This Row],[HAListPrice]]-HearingAids7[[#This Row],[Discount Amount 2]]</f>
        <v>3037.5</v>
      </c>
      <c r="L75" s="98">
        <v>6400</v>
      </c>
      <c r="M75" s="75"/>
      <c r="N75" s="44"/>
      <c r="O75" s="75"/>
      <c r="P75" s="44"/>
      <c r="Q75" s="45">
        <v>1</v>
      </c>
      <c r="R75" s="45" t="s">
        <v>52</v>
      </c>
      <c r="S75" s="45">
        <v>325</v>
      </c>
      <c r="T75" s="47" t="s">
        <v>55</v>
      </c>
      <c r="U75" s="47">
        <v>0</v>
      </c>
      <c r="V75" s="47" t="s">
        <v>56</v>
      </c>
      <c r="Y75" s="15"/>
      <c r="Z75" s="15"/>
      <c r="AA75" s="15"/>
      <c r="AB75"/>
      <c r="AC75"/>
      <c r="AD75"/>
      <c r="AE75"/>
    </row>
    <row r="76" spans="1:31" ht="15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7">
        <v>5039</v>
      </c>
      <c r="E76" s="44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7">
        <v>8550</v>
      </c>
      <c r="I76" s="75" t="s">
        <v>83</v>
      </c>
      <c r="J76" s="44">
        <v>625</v>
      </c>
      <c r="K76" s="44">
        <f>HearingAids7[[#This Row],[HAListPrice]]-HearingAids7[[#This Row],[Discount Amount 2]]</f>
        <v>3487.5</v>
      </c>
      <c r="L76" s="98">
        <v>7300</v>
      </c>
      <c r="M76" s="75"/>
      <c r="N76" s="44"/>
      <c r="O76" s="75"/>
      <c r="P76" s="44"/>
      <c r="Q76" s="45">
        <v>1</v>
      </c>
      <c r="R76" s="45" t="s">
        <v>52</v>
      </c>
      <c r="S76" s="45">
        <v>325</v>
      </c>
      <c r="T76" s="47" t="s">
        <v>55</v>
      </c>
      <c r="U76" s="47">
        <v>0</v>
      </c>
      <c r="V76" s="47" t="s">
        <v>56</v>
      </c>
      <c r="Y76" s="15"/>
      <c r="Z76" s="15"/>
      <c r="AA76" s="15"/>
      <c r="AB76"/>
      <c r="AC76"/>
      <c r="AD76"/>
      <c r="AE76"/>
    </row>
    <row r="77" spans="1:31" ht="15">
      <c r="A77" s="77" t="s">
        <v>89</v>
      </c>
      <c r="B77" s="83" t="s">
        <v>90</v>
      </c>
      <c r="C77" s="42">
        <f>(HearingAids7[[#This Row],[haMSRP]]*2)+HearingAids7[[#This Row],[chargerPrice]]</f>
        <v>6043</v>
      </c>
      <c r="D77" s="97">
        <v>2909</v>
      </c>
      <c r="E77" s="78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7">
        <v>6268</v>
      </c>
      <c r="I77" s="76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4">
        <f>HearingAids7[[#This Row],[HAListPrice]]-HearingAids7[[#This Row],[Discount Amount 2]]</f>
        <v>1086.5</v>
      </c>
      <c r="L77" s="98">
        <f>1199*2</f>
        <v>2398</v>
      </c>
      <c r="M77" s="78"/>
      <c r="N77" s="78">
        <f>((HearingAids7[[#This Row],[haNetPriceBinural]]-HearingAids7[[#This Row],[chargerPrice]])/2)-HearingAids7[[#This Row],[haNetPriceBinural2]]</f>
        <v>1086.5</v>
      </c>
      <c r="O77" s="78">
        <f>HearingAids7[[#This Row],[haNetPrice]]-HearingAids7[[#This Row],[Discount Amount 3]]</f>
        <v>0</v>
      </c>
      <c r="P77" s="78"/>
      <c r="Q77" s="79">
        <v>1</v>
      </c>
      <c r="R77" s="89" t="s">
        <v>49</v>
      </c>
      <c r="S77" s="84">
        <v>225</v>
      </c>
      <c r="T77" s="85" t="s">
        <v>61</v>
      </c>
      <c r="U77" s="78">
        <v>0</v>
      </c>
      <c r="V77" s="51" t="s">
        <v>56</v>
      </c>
      <c r="X77" s="43"/>
      <c r="Y77" s="43"/>
      <c r="Z77" s="43"/>
      <c r="AA77" s="43"/>
      <c r="AB77" s="43"/>
      <c r="AC77" s="43"/>
      <c r="AD77" s="43"/>
    </row>
    <row r="78" spans="1:31" ht="15">
      <c r="A78" s="77" t="s">
        <v>91</v>
      </c>
      <c r="B78" s="83" t="s">
        <v>92</v>
      </c>
      <c r="C78" s="42">
        <f>(HearingAids7[[#This Row],[haMSRP]]*2)+HearingAids7[[#This Row],[chargerPrice]]</f>
        <v>7463</v>
      </c>
      <c r="D78" s="97">
        <v>3569</v>
      </c>
      <c r="E78" s="78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7">
        <v>7788</v>
      </c>
      <c r="I78" s="76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4">
        <f>HearingAids7[[#This Row],[HAListPrice]]-HearingAids7[[#This Row],[Discount Amount 2]]</f>
        <v>1636.5</v>
      </c>
      <c r="L78" s="98">
        <f>1799*2</f>
        <v>3598</v>
      </c>
      <c r="M78" s="78"/>
      <c r="N78" s="78">
        <f>((HearingAids7[[#This Row],[haNetPriceBinural]]-HearingAids7[[#This Row],[chargerPrice]])/2)-HearingAids7[[#This Row],[haNetPriceBinural2]]</f>
        <v>1636.5</v>
      </c>
      <c r="O78" s="78">
        <f>HearingAids7[[#This Row],[haNetPrice]]-HearingAids7[[#This Row],[Discount Amount 3]]</f>
        <v>0</v>
      </c>
      <c r="P78" s="78"/>
      <c r="Q78" s="79">
        <v>1</v>
      </c>
      <c r="R78" s="78" t="s">
        <v>52</v>
      </c>
      <c r="S78" s="78">
        <v>325</v>
      </c>
      <c r="T78" s="40" t="s">
        <v>55</v>
      </c>
      <c r="U78" s="78">
        <v>0</v>
      </c>
      <c r="V78" s="51" t="s">
        <v>56</v>
      </c>
      <c r="X78" s="43"/>
      <c r="Y78" s="43"/>
      <c r="Z78" s="43"/>
      <c r="AA78" s="43"/>
      <c r="AB78" s="43"/>
      <c r="AC78" s="43"/>
      <c r="AD78" s="43"/>
    </row>
    <row r="79" spans="1:31" ht="15">
      <c r="A79" s="77" t="s">
        <v>93</v>
      </c>
      <c r="B79" s="83" t="s">
        <v>94</v>
      </c>
      <c r="C79" s="42">
        <f>(HearingAids7[[#This Row],[haMSRP]]*2)+HearingAids7[[#This Row],[chargerPrice]]</f>
        <v>9323</v>
      </c>
      <c r="D79" s="97">
        <v>4499</v>
      </c>
      <c r="E79" s="78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7">
        <v>9648</v>
      </c>
      <c r="I79" s="76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4">
        <f>HearingAids7[[#This Row],[HAListPrice]]-HearingAids7[[#This Row],[Discount Amount 2]]</f>
        <v>2086.5</v>
      </c>
      <c r="L79" s="98">
        <f>2249*2</f>
        <v>4498</v>
      </c>
      <c r="M79" s="78"/>
      <c r="N79" s="78">
        <f>((HearingAids7[[#This Row],[haNetPriceBinural]]-HearingAids7[[#This Row],[chargerPrice]])/2)-HearingAids7[[#This Row],[haNetPriceBinural2]]</f>
        <v>2086.5</v>
      </c>
      <c r="O79" s="78">
        <f>HearingAids7[[#This Row],[haNetPrice]]-HearingAids7[[#This Row],[Discount Amount 3]]</f>
        <v>0</v>
      </c>
      <c r="P79" s="78"/>
      <c r="Q79" s="79">
        <v>1</v>
      </c>
      <c r="R79" s="78" t="s">
        <v>52</v>
      </c>
      <c r="S79" s="78">
        <v>325</v>
      </c>
      <c r="T79" s="40" t="s">
        <v>55</v>
      </c>
      <c r="U79" s="78">
        <v>0</v>
      </c>
      <c r="V79" s="51" t="s">
        <v>56</v>
      </c>
      <c r="X79" s="43"/>
      <c r="Y79" s="43"/>
      <c r="Z79" s="43"/>
      <c r="AA79" s="43"/>
      <c r="AB79" s="43"/>
      <c r="AC79" s="43"/>
      <c r="AD79" s="43"/>
    </row>
    <row r="80" spans="1:31" ht="15">
      <c r="A80" s="80" t="s">
        <v>1</v>
      </c>
      <c r="B80" s="86" t="s">
        <v>95</v>
      </c>
      <c r="C80" s="42">
        <f>(HearingAids7[[#This Row],[haMSRP]]*2)+HearingAids7[[#This Row],[chargerPrice]]</f>
        <v>11483</v>
      </c>
      <c r="D80" s="97">
        <v>5579</v>
      </c>
      <c r="E80" s="81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7">
        <v>11808</v>
      </c>
      <c r="I80" s="87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4">
        <f>HearingAids7[[#This Row],[HAListPrice]]-HearingAids7[[#This Row],[Discount Amount 2]]</f>
        <v>2336.5</v>
      </c>
      <c r="L80" s="98">
        <f>2499*2</f>
        <v>4998</v>
      </c>
      <c r="M80" s="81"/>
      <c r="N80" s="81">
        <f>((HearingAids7[[#This Row],[haNetPriceBinural]]-HearingAids7[[#This Row],[chargerPrice]])/2)-HearingAids7[[#This Row],[haNetPriceBinural2]]</f>
        <v>2336.5</v>
      </c>
      <c r="O80" s="81">
        <f>HearingAids7[[#This Row],[haNetPrice]]-HearingAids7[[#This Row],[Discount Amount 3]]</f>
        <v>0</v>
      </c>
      <c r="P80" s="81"/>
      <c r="Q80" s="82">
        <v>1</v>
      </c>
      <c r="R80" s="81" t="s">
        <v>52</v>
      </c>
      <c r="S80" s="81">
        <v>325</v>
      </c>
      <c r="T80" s="94" t="s">
        <v>55</v>
      </c>
      <c r="U80" s="81">
        <v>0</v>
      </c>
      <c r="V80" s="96" t="s">
        <v>56</v>
      </c>
      <c r="X80" s="43"/>
      <c r="Y80" s="43"/>
      <c r="Z80" s="43"/>
      <c r="AA80" s="43"/>
      <c r="AB80" s="43"/>
      <c r="AC80" s="43"/>
      <c r="AD80" s="43"/>
    </row>
    <row r="81" spans="1:30" ht="15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7">
        <v>3149</v>
      </c>
      <c r="E81" s="44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7">
        <v>5350</v>
      </c>
      <c r="I81" s="75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8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5">
        <v>1</v>
      </c>
      <c r="R81" s="45" t="s">
        <v>52</v>
      </c>
      <c r="S81" s="45">
        <v>325</v>
      </c>
      <c r="T81" s="47" t="s">
        <v>55</v>
      </c>
      <c r="U81" s="47">
        <v>0</v>
      </c>
      <c r="V81" s="47" t="s">
        <v>56</v>
      </c>
      <c r="X81" s="43"/>
      <c r="Y81" s="43"/>
      <c r="Z81" s="43"/>
      <c r="AA81" s="43"/>
      <c r="AB81" s="43"/>
      <c r="AC81" s="43"/>
      <c r="AD81" s="43"/>
    </row>
    <row r="82" spans="1:30" ht="15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7">
        <v>3149</v>
      </c>
      <c r="E82" s="44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7">
        <v>5350</v>
      </c>
      <c r="I82" s="75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8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5">
        <v>1</v>
      </c>
      <c r="R82" s="45" t="s">
        <v>52</v>
      </c>
      <c r="S82" s="45">
        <v>325</v>
      </c>
      <c r="T82" s="47" t="s">
        <v>55</v>
      </c>
      <c r="U82" s="47">
        <v>0</v>
      </c>
      <c r="V82" s="47" t="s">
        <v>56</v>
      </c>
      <c r="X82" s="43"/>
      <c r="Y82" s="43"/>
      <c r="Z82" s="43"/>
      <c r="AA82" s="43"/>
      <c r="AB82" s="43"/>
      <c r="AC82" s="43"/>
      <c r="AD82" s="43"/>
    </row>
    <row r="83" spans="1:30" ht="15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7">
        <v>3149</v>
      </c>
      <c r="E83" s="44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7">
        <v>5350</v>
      </c>
      <c r="I83" s="75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8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5">
        <v>1</v>
      </c>
      <c r="R83" s="45" t="s">
        <v>52</v>
      </c>
      <c r="S83" s="45">
        <v>325</v>
      </c>
      <c r="T83" s="47" t="s">
        <v>55</v>
      </c>
      <c r="U83" s="47">
        <v>0</v>
      </c>
      <c r="V83" s="47" t="s">
        <v>56</v>
      </c>
      <c r="X83" s="43"/>
      <c r="Y83" s="43"/>
      <c r="Z83" s="43"/>
      <c r="AA83" s="43"/>
      <c r="AB83" s="43"/>
      <c r="AC83" s="43"/>
      <c r="AD83" s="43"/>
    </row>
    <row r="84" spans="1:30" ht="15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7">
        <v>3149</v>
      </c>
      <c r="E84" s="44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7">
        <v>5350</v>
      </c>
      <c r="I84" s="75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8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5">
        <v>1</v>
      </c>
      <c r="R84" s="45" t="s">
        <v>52</v>
      </c>
      <c r="S84" s="45">
        <v>325</v>
      </c>
      <c r="T84" s="47" t="s">
        <v>55</v>
      </c>
      <c r="U84" s="47">
        <v>0</v>
      </c>
      <c r="V84" s="47" t="s">
        <v>56</v>
      </c>
      <c r="X84" s="43"/>
      <c r="Y84" s="43"/>
      <c r="Z84" s="43"/>
      <c r="AA84" s="43"/>
      <c r="AB84" s="43"/>
      <c r="AC84" s="43"/>
      <c r="AD84" s="43"/>
    </row>
    <row r="85" spans="1:30" ht="15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7">
        <v>3149</v>
      </c>
      <c r="E85" s="44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7">
        <v>5350</v>
      </c>
      <c r="I85" s="75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8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5">
        <v>1</v>
      </c>
      <c r="R85" s="45" t="s">
        <v>52</v>
      </c>
      <c r="S85" s="45">
        <v>325</v>
      </c>
      <c r="T85" s="47" t="s">
        <v>55</v>
      </c>
      <c r="U85" s="47">
        <v>0</v>
      </c>
      <c r="V85" s="47" t="s">
        <v>56</v>
      </c>
      <c r="X85" s="43"/>
      <c r="Y85" s="43"/>
      <c r="Z85" s="43"/>
      <c r="AA85" s="43"/>
      <c r="AB85" s="43"/>
      <c r="AC85" s="43"/>
      <c r="AD85" s="43"/>
    </row>
    <row r="86" spans="1:30" ht="15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7">
        <v>3149</v>
      </c>
      <c r="E86" s="44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7">
        <v>5350</v>
      </c>
      <c r="I86" s="75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8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5">
        <v>1</v>
      </c>
      <c r="R86" s="45" t="s">
        <v>52</v>
      </c>
      <c r="S86" s="45">
        <v>325</v>
      </c>
      <c r="T86" s="47" t="s">
        <v>55</v>
      </c>
      <c r="U86" s="47">
        <v>0</v>
      </c>
      <c r="V86" s="47" t="s">
        <v>56</v>
      </c>
      <c r="X86" s="43"/>
      <c r="Y86" s="43"/>
      <c r="Z86" s="43"/>
      <c r="AA86" s="43"/>
      <c r="AB86" s="43"/>
      <c r="AC86" s="43"/>
      <c r="AD86" s="43"/>
    </row>
    <row r="87" spans="1:30" ht="15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7">
        <v>3149</v>
      </c>
      <c r="E87" s="44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7">
        <v>5350</v>
      </c>
      <c r="I87" s="75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8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5">
        <v>1</v>
      </c>
      <c r="R87" s="45" t="s">
        <v>52</v>
      </c>
      <c r="S87" s="45">
        <v>325</v>
      </c>
      <c r="T87" s="47" t="s">
        <v>55</v>
      </c>
      <c r="U87" s="47">
        <v>0</v>
      </c>
      <c r="V87" s="47" t="s">
        <v>56</v>
      </c>
      <c r="X87" s="43"/>
      <c r="Y87" s="43"/>
      <c r="Z87" s="43"/>
      <c r="AA87" s="43"/>
      <c r="AB87" s="43"/>
      <c r="AC87" s="43"/>
      <c r="AD87" s="43"/>
    </row>
    <row r="88" spans="1:30" ht="15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7">
        <v>3149</v>
      </c>
      <c r="E88" s="44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7">
        <v>5350</v>
      </c>
      <c r="I88" s="75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8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5">
        <v>1</v>
      </c>
      <c r="R88" s="45" t="s">
        <v>52</v>
      </c>
      <c r="S88" s="45">
        <v>325</v>
      </c>
      <c r="T88" s="47" t="s">
        <v>55</v>
      </c>
      <c r="U88" s="47">
        <v>0</v>
      </c>
      <c r="V88" s="47" t="s">
        <v>56</v>
      </c>
      <c r="X88" s="43"/>
      <c r="Y88" s="43"/>
      <c r="Z88" s="43"/>
      <c r="AA88" s="43"/>
      <c r="AB88" s="43"/>
      <c r="AC88" s="43"/>
      <c r="AD88" s="43"/>
    </row>
    <row r="89" spans="1:30" ht="15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7">
        <v>3149</v>
      </c>
      <c r="E89" s="44" t="s">
        <v>10</v>
      </c>
      <c r="F89" s="44">
        <f>HearingAids7[[#This Row],[haMSRP]]-((HearingAids7[[#This Row],[ListPriceBinural]]-HearingAids7[[#This Row],[chargerPrice]])/2)</f>
        <v>636.5</v>
      </c>
      <c r="G89" s="44">
        <f>HearingAids7[[#This Row],[haMSRP]]-HearingAids7[[#This Row],[Discount Amount 1]]</f>
        <v>2512.5</v>
      </c>
      <c r="H89" s="97">
        <v>5350</v>
      </c>
      <c r="I89" s="75" t="s">
        <v>88</v>
      </c>
      <c r="J89" s="44">
        <f>(HearingAids7[[#This Row],[haMSRP]]-HearingAids7[[#This Row],[Discount Amount 1]])-(HearingAids7[[#This Row],[haNetPriceBinural]]-HearingAids7[[#This Row],[chargerPrice]])/2</f>
        <v>580</v>
      </c>
      <c r="K89" s="44">
        <f>HearingAids7[[#This Row],[HAListPrice]]-HearingAids7[[#This Row],[Discount Amount 2]]</f>
        <v>1932.5</v>
      </c>
      <c r="L89" s="98">
        <v>4190</v>
      </c>
      <c r="M89" s="44"/>
      <c r="N89" s="44">
        <f>((HearingAids7[[#This Row],[haNetPriceBinural]]-HearingAids7[[#This Row],[chargerPrice]])/2)-HearingAids7[[#This Row],[haNetPriceBinural2]]</f>
        <v>1932.5</v>
      </c>
      <c r="O89" s="44">
        <f>HearingAids7[[#This Row],[haNetPrice]]-HearingAids7[[#This Row],[Discount Amount 3]]</f>
        <v>0</v>
      </c>
      <c r="P89" s="44"/>
      <c r="Q89" s="45">
        <v>1</v>
      </c>
      <c r="R89" s="45" t="s">
        <v>52</v>
      </c>
      <c r="S89" s="45">
        <v>325</v>
      </c>
      <c r="T89" s="47" t="s">
        <v>55</v>
      </c>
      <c r="U89" s="47">
        <v>0</v>
      </c>
      <c r="V89" s="47" t="s">
        <v>56</v>
      </c>
      <c r="X89" s="43"/>
      <c r="Y89" s="43"/>
      <c r="Z89" s="43"/>
      <c r="AA89" s="43"/>
      <c r="AB89" s="43"/>
      <c r="AC89" s="43"/>
      <c r="AD89" s="43"/>
    </row>
    <row r="90" spans="1:30" ht="12.75">
      <c r="A90" s="41"/>
      <c r="B90" s="41"/>
      <c r="C90" s="41"/>
      <c r="I90" s="43"/>
      <c r="J90" s="43"/>
      <c r="K90" s="43"/>
      <c r="N90" s="43"/>
      <c r="O90" s="43"/>
      <c r="Q90" s="53"/>
      <c r="U90" s="43"/>
      <c r="X90" s="43"/>
      <c r="Y90" s="43"/>
      <c r="Z90" s="43"/>
      <c r="AA90" s="43"/>
      <c r="AB90" s="43"/>
      <c r="AC90" s="43"/>
      <c r="AD90" s="43"/>
    </row>
    <row r="91" spans="1:30" ht="12.75">
      <c r="A91" s="41"/>
      <c r="B91" s="41"/>
      <c r="C91" s="41"/>
      <c r="I91" s="43"/>
      <c r="J91" s="43"/>
      <c r="K91" s="43"/>
      <c r="N91" s="43"/>
      <c r="O91" s="43"/>
      <c r="Q91" s="53"/>
      <c r="U91" s="43"/>
    </row>
    <row r="92" spans="1:30" ht="12.75">
      <c r="A92" s="41"/>
      <c r="B92" s="41"/>
      <c r="C92" s="41"/>
      <c r="I92" s="43"/>
      <c r="J92" s="43"/>
      <c r="K92" s="43"/>
      <c r="N92" s="43"/>
      <c r="O92" s="43"/>
      <c r="Q92" s="53"/>
      <c r="U92" s="43"/>
    </row>
    <row r="93" spans="1:30" ht="12.75">
      <c r="A93" s="41"/>
      <c r="B93" s="41"/>
      <c r="C93" s="41"/>
      <c r="I93" s="43"/>
      <c r="J93" s="43"/>
      <c r="K93" s="43"/>
      <c r="N93" s="43"/>
      <c r="O93" s="43"/>
      <c r="Q93" s="53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2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32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Lynettee Guo</cp:lastModifiedBy>
  <cp:revision/>
  <dcterms:created xsi:type="dcterms:W3CDTF">2022-02-28T17:51:21Z</dcterms:created>
  <dcterms:modified xsi:type="dcterms:W3CDTF">2026-10-05T19:14:10Z</dcterms:modified>
  <cp:category/>
  <cp:contentStatus/>
</cp:coreProperties>
</file>