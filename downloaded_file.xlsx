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215" documentId="8_{964C585B-190F-46EC-9553-F8D486DF59FA}" xr6:coauthVersionLast="47" xr6:coauthVersionMax="47" xr10:uidLastSave="{BAFA67FA-E2FB-4AEC-A583-732C8540A694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8" i="1" l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J47" i="1" l="1"/>
  <c r="J48" i="1"/>
  <c r="G46" i="1"/>
  <c r="K46" i="1" s="1"/>
  <c r="K48" i="1"/>
  <c r="K47" i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25" i="1" l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37" i="1" l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<sst xmlns="http://schemas.openxmlformats.org/spreadsheetml/2006/main" count="2839" uniqueCount="629">
  <si>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</si>
  <si>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</si>
  <si>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</si>
  <si>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</si>
  <si>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</si>
  <si>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</si>
  <si>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</si>
  <si>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</si>
  <si>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</si>
  <si>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</si>
  <si>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</si>
  <si>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</si>
  <si>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</si>
  <si>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</si>
  <si>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</si>
  <si>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</si>
  <si>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</si>
  <si>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</si>
  <si>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</si>
  <si>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</si>
  <si>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</si>
  <si>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</si>
  <si>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</si>
  <si>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</si>
  <si>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</si>
  <si>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</si>
  <si>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</si>
  <si>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</si>
  <si>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</si>
  <si>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</si>
  <si>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</si>
  <si>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</si>
  <si>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</si>
  <si>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</si>
  <si>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</si>
  <si>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</si>
  <si>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</si>
  <si>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</si>
  <si>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</si>
  <si>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</si>
  <si>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</si>
  <si>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</si>
  <si>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</si>
  <si>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</si>
  <si>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</si>
  <si>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</si>
  <si>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</si>
  <si>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</si>
  <si>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</si>
  <si>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</si>
  <si>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</si>
  <si>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</si>
  <si>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</si>
  <si>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</si>
  <si>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</si>
  <si>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</si>
  <si>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</si>
  <si>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</si>
  <si>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</si>
  <si>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</si>
  <si>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</si>
  <si>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</si>
  <si>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</si>
  <si>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</si>
  <si>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</si>
  <si>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</si>
  <si>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</si>
  <si>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</si>
  <si>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</si>
  <si>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</si>
  <si>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</si>
  <si>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</si>
  <si>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</si>
  <si>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</si>
  <si>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</si>
  <si>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</si>
  <si>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</si>
  <si>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</si>
  <si>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</si>
  <si>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</si>
  <si>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</si>
  <si>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</si>
  <si>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</si>
  <si>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</si>
  <si>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</si>
  <si>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</si>
  <si>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</si>
  <si>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</si>
  <si>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</si>
  <si>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</si>
  <si>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</si>
  <si>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</si>
  <si>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</si>
  <si>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</si>
  <si>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</si>
  <si>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</si>
  <si>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</si>
  <si>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</si>
  <si>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</si>
  <si>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</si>
  <si>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</si>
  <si>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</si>
  <si>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</si>
  <si>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</si>
  <si>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</si>
  <si>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</si>
  <si>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</si>
  <si>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</si>
  <si>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</si>
  <si>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</si>
  <si>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</si>
  <si>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</si>
  <si>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</si>
  <si>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</si>
  <si>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</si>
  <si>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</si>
  <si>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</si>
  <si>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</si>
  <si>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</si>
  <si>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</si>
  <si>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</si>
  <si>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</si>
  <si>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</si>
  <si>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</si>
  <si>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</si>
  <si>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</si>
  <si>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</si>
  <si>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</si>
  <si>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</si>
  <si>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</si>
  <si>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</si>
  <si>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</si>
  <si>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</si>
  <si>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</si>
  <si>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</si>
  <si>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</si>
  <si>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</si>
  <si>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</si>
  <si>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</si>
  <si>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</si>
  <si>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</si>
  <si>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</si>
  <si>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</si>
  <si>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</si>
  <si>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</si>
  <si>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</si>
  <si>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</si>
  <si>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</si>
  <si>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</si>
  <si>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</si>
  <si>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</si>
  <si>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</si>
  <si>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</si>
  <si>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</si>
  <si>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</si>
  <si>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</si>
  <si>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</si>
  <si>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</si>
  <si>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</si>
  <si>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</si>
  <si>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</si>
  <si>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</si>
  <si>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</si>
  <si>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</si>
  <si>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</si>
  <si>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</si>
  <si>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</si>
  <si>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</si>
  <si>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</si>
  <si>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</si>
  <si>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</si>
  <si>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</si>
  <si>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</si>
  <si>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</si>
  <si>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</si>
  <si>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</si>
  <si>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</si>
  <si>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</si>
  <si>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</si>
  <si>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</si>
  <si>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</si>
  <si>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</si>
  <si>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</si>
  <si>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</si>
  <si>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</si>
  <si>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</si>
  <si>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</si>
  <si>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</si>
  <si>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</si>
  <si>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</si>
  <si>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</si>
  <si>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</si>
  <si>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</si>
  <si>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</si>
  <si>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</si>
  <si>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</si>
  <si>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</si>
  <si>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</si>
  <si>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</si>
  <si>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</si>
  <si>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</si>
  <si>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</si>
  <si>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</si>
  <si>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</si>
  <si>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</si>
  <si>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</si>
  <si>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</si>
  <si>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</si>
  <si>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</si>
  <si>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</si>
  <si>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</si>
  <si>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</si>
  <si>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</si>
  <si>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</si>
  <si>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</si>
  <si>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</si>
  <si>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</si>
  <si>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</si>
  <si>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</si>
  <si>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</si>
  <si>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</si>
  <si>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</si>
  <si>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</si>
  <si>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</si>
  <si>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</si>
  <si>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</si>
  <si>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</si>
  <si>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</si>
  <si>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</si>
  <si>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</si>
  <si>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</si>
  <si>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</si>
  <si>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</si>
  <si>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</si>
  <si>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</si>
  <si>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</si>
  <si>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</si>
  <si>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</si>
  <si>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</si>
  <si>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</si>
  <si>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</si>
  <si>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</si>
  <si>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</si>
  <si>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</si>
  <si>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</si>
  <si>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</si>
  <si>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</si>
  <si>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</si>
  <si>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</si>
  <si>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</si>
  <si>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</si>
  <si>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</si>
  <si>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</si>
  <si>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</si>
  <si>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</si>
  <si>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</si>
  <si>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</si>
  <si>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</si>
  <si>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</si>
  <si>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</si>
  <si>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</si>
  <si>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</si>
  <si>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</si>
  <si>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</si>
  <si>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</si>
  <si>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</si>
  <si>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</si>
  <si>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</si>
  <si>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</si>
  <si>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</si>
  <si>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</si>
  <si>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</si>
  <si>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</si>
  <si>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</si>
  <si>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</si>
  <si>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</si>
  <si>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</si>
  <si>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</si>
  <si>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</si>
  <si>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</si>
  <si>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</si>
  <si>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</si>
  <si>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</si>
  <si>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</si>
  <si>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</si>
  <si>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</si>
  <si>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</si>
  <si>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</si>
  <si>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</si>
  <si>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</si>
  <si>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</si>
  <si>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</si>
  <si>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</si>
  <si>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</si>
  <si>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</si>
  <si>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</si>
  <si>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</si>
  <si>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</si>
  <si>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</si>
  <si>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</si>
  <si>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</si>
  <si>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</si>
  <si>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</si>
  <si>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</si>
  <si>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</si>
  <si>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</si>
  <si>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</si>
  <si>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</si>
  <si>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</si>
  <si>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</si>
  <si>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</si>
  <si>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</si>
  <si>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</si>
  <si>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</si>
  <si>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</si>
  <si>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</si>
  <si>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</si>
  <si>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</si>
  <si>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</si>
  <si>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</si>
  <si>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</si>
  <si>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</si>
  <si>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</si>
  <si>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</si>
  <si>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</si>
  <si>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</si>
  <si>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</si>
  <si>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</si>
  <si>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</si>
  <si>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</si>
  <si>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</si>
  <si>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</si>
  <si>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</si>
  <si>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</si>
  <si>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</si>
  <si>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</si>
  <si>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</si>
  <si>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</si>
  <si>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</si>
  <si>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</si>
  <si>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</si>
  <si>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</si>
  <si>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</si>
  <si>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</si>
  <si>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</si>
  <si>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</si>
  <si>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</si>
  <si>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</si>
  <si>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</si>
  <si>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</si>
  <si>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</si>
  <si>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</si>
  <si>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</si>
  <si>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</si>
  <si>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</si>
  <si>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</si>
  <si>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</si>
  <si>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</si>
  <si>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</si>
  <si>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</si>
  <si>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</si>
  <si>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</si>
  <si>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</si>
  <si>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</si>
  <si>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</si>
  <si>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</si>
  <si>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</si>
  <si>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</si>
  <si>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</si>
  <si>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</si>
  <si>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</si>
  <si>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</si>
  <si>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</si>
  <si>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</si>
  <si>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</si>
  <si>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</si>
  <si>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</si>
  <si>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</si>
  <si>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</si>
  <si>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</si>
  <si>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</si>
  <si>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</si>
  <si>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</si>
  <si>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</si>
  <si>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</si>
  <si>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</si>
  <si>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</si>
  <si>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</si>
  <si>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</si>
  <si>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</si>
  <si>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</si>
  <si>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</si>
  <si>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</si>
  <si>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</si>
  <si>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</si>
  <si>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</si>
  <si>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</si>
  <si>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</si>
  <si>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</si>
  <si>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</si>
  <si>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</si>
  <si>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</si>
  <si>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</si>
  <si>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</si>
  <si>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</si>
  <si>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</si>
  <si>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</si>
  <si>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</si>
  <si>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</si>
  <si>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</si>
  <si>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</si>
  <si>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</si>
  <si>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</si>
  <si>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</si>
  <si>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</si>
  <si>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</si>
  <si>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</si>
  <si>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</si>
  <si>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</si>
  <si>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</si>
  <si>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</si>
  <si>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</si>
  <si>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</si>
  <si>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</si>
  <si>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</si>
  <si>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</si>
  <si>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</si>
  <si>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</si>
  <si>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</si>
  <si>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</si>
  <si>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</si>
  <si>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</si>
  <si>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</si>
  <si>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</si>
  <si>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</si>
  <si>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</si>
  <si>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</si>
  <si>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</si>
  <si>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</si>
  <si>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</si>
  <si>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</si>
  <si>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</si>
  <si>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</si>
  <si>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</si>
  <si>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</si>
  <si>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</si>
  <si>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</si>
  <si>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</si>
  <si>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</si>
  <si>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</si>
  <si>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</si>
  <si>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</si>
  <si>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</si>
  <si>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</si>
  <si>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</si>
  <si>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</si>
  <si>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</si>
  <si>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</si>
  <si>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</si>
  <si>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</si>
  <si>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</si>
  <si>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</si>
  <si>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</si>
  <si>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</si>
  <si>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</si>
  <si>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</si>
  <si>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</si>
  <si>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</si>
  <si>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</si>
  <si>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</si>
  <si>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</si>
  <si>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</si>
  <si>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</si>
  <si>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</si>
  <si>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</si>
  <si>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</si>
  <si>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</si>
  <si>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</si>
  <si>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</si>
  <si>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</si>
  <si>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</si>
  <si>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</si>
  <si>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</si>
  <si>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</si>
  <si>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</si>
  <si>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</si>
  <si>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</si>
  <si>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</si>
  <si>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</si>
  <si>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</si>
  <si>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</si>
  <si>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</si>
  <si>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</si>
  <si>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</si>
  <si>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</si>
  <si>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</si>
  <si>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</si>
  <si>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</si>
  <si>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</si>
  <si>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</si>
  <si>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</si>
  <si>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</si>
  <si>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</si>
  <si>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</si>
  <si>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</si>
  <si>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</si>
  <si>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</si>
  <si>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</si>
  <si>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</si>
  <si>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</si>
  <si>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</si>
  <si>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</si>
  <si>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</si>
  <si>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</si>
  <si>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</si>
  <si>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</si>
  <si>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</si>
  <si>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</si>
  <si>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</si>
  <si>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</si>
  <si>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</si>
  <si>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</si>
  <si>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</si>
  <si>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</si>
  <si>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</si>
  <si>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</si>
  <si>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</si>
  <si>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</si>
  <si>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</si>
  <si>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</si>
  <si>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</si>
  <si>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</si>
  <si>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</si>
  <si>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</si>
  <si>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</si>
  <si>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</si>
  <si>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</si>
  <si>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</si>
  <si>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</si>
  <si>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</si>
  <si>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</si>
  <si>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</si>
  <si>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</si>
  <si>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</si>
  <si>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</si>
  <si>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</si>
  <si>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</si>
  <si>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</si>
  <si>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</si>
  <si>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</si>
  <si>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</si>
  <si>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</si>
  <si>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</si>
  <si>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</si>
  <si>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</si>
  <si>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</si>
  <si>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</si>
  <si>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</si>
  <si>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</si>
  <si>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</si>
  <si>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</si>
  <si>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</si>
  <si>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</si>
  <si>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</si>
  <si>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</si>
  <si>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</si>
  <si>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</si>
  <si>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</si>
  <si>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</si>
  <si>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</si>
  <si>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</si>
  <si>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</si>
  <si>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</si>
  <si>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</si>
  <si>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</si>
  <si>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</si>
  <si>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</si>
  <si>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</si>
  <si>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</si>
  <si>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</si>
  <si>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</si>
  <si>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</si>
  <si>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</si>
  <si>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</si>
  <si>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</si>
  <si>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</si>
  <si>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</si>
  <si>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</si>
  <si>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</si>
  <si>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</si>
  <si>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</si>
  <si>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</si>
  <si>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</si>
  <si>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</si>
  <si>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</si>
  <si>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</si>
  <si>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</si>
  <si>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</si>
  <si>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</si>
  <si>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</si>
  <si>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</si>
  <si>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</si>
  <si>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</si>
  <si>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</si>
  <si>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</si>
  <si>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</si>
  <si>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</si>
  <si>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</si>
  <si>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</si>
  <si>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</si>
  <si>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</si>
  <si>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</si>
  <si>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</si>
  <si>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</si>
  <si>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</si>
  <si>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</si>
  <si>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</si>
  <si>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UHCH Competitive</t>
  </si>
  <si>
    <t>Envision 17 Special</t>
  </si>
  <si>
    <t>Envision 6 Special</t>
  </si>
  <si>
    <t>Envision 9 Special</t>
  </si>
  <si>
    <t>Beltone BTE Digital Boost Max S 17 95-DWHC</t>
  </si>
  <si>
    <t>Beltone BTE Digital Boost Max S 6 95-DWHC</t>
  </si>
  <si>
    <t>Beltone BTE Digital Boost Max S 9 95-DWHC</t>
  </si>
  <si>
    <t>Beltone BTE Digital Boost Max S 4 95-DWHC</t>
  </si>
  <si>
    <t>Beltone Boost Max S 4 95-DWHC Digital BTE</t>
  </si>
  <si>
    <t>Beltone Boost Max S 17 95-DWHC Digital BTE</t>
  </si>
  <si>
    <t>Beltone Boost Max S 6 95-DWHC Digital BTE</t>
  </si>
  <si>
    <t>Beltone Boost Max S 9 95-DWHC Digital BTE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</si>
</sst>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3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9" totalsRowShown="0" headerRowDxfId="59" dataDxfId="58">
  <autoFilter ref="A1:V159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>
    <filterColumn colId="7">
      <filters>
        <filter val="Gold Bundle"/>
        <filter val="Open House Gold Bundle"/>
        <filter val="Open House Platinum Bundle"/>
        <filter val="Open House Silver Bundle"/>
        <filter val="Platinum Bundle"/>
      </filters>
    </filterColumn>
  </autoFilter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496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618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5819</v>
      </c>
      <c r="C13" s="74" t="s">
        <v>412</v>
      </c>
      <c r="D13" s="76" cm="1">
        <f t="array" ref="D13">IF($B$5=1,"",_xlfn.XLOOKUP($B$3&amp;$B$7,haList!A:A&amp;haList!I:I,haList!D:D))</f>
        <v>5819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-1256.5</v>
      </c>
      <c r="C14" s="74" t="s">
        <v>538</v>
      </c>
      <c r="D14" s="61" cm="1">
        <f t="array" ref="D14">IF(B5=1,"",_xlfn.XLOOKUP($B$3,haList!$A:$A,-haList!$F:$F))</f>
        <v>-1256.5</v>
      </c>
      <c r="E14" s="57"/>
      <c r="F14" s="57"/>
    </row>
    <row r="15" spans="1:8" ht="18" customHeight="1">
      <c r="A15" s="74" t="s">
        <v>587</v>
      </c>
      <c r="B15" s="75">
        <f>B13+B14</f>
        <v>4562.5</v>
      </c>
      <c r="C15" s="74" t="s">
        <v>587</v>
      </c>
      <c r="D15" s="77">
        <f>IF(B5=1,"",D13+D14)</f>
        <v>4562.5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-750</v>
      </c>
      <c r="C16" s="74" t="s">
        <v>588</v>
      </c>
      <c r="D16" s="75" cm="1">
        <f t="array" ref="D16">IF(B5=1,"",_xlfn.XLOOKUP($B$3&amp;$B$7,haList!$A:$A&amp;haList!$I:$I,-haList!$J:$J))</f>
        <v>-750</v>
      </c>
      <c r="E16" s="57"/>
      <c r="F16" s="57"/>
    </row>
    <row r="17" spans="1:9" ht="18" customHeight="1">
      <c r="A17" s="74" t="s">
        <v>589</v>
      </c>
      <c r="B17" s="75">
        <f>B15+B16</f>
        <v>3812.5</v>
      </c>
      <c r="C17" s="74" t="s">
        <v>589</v>
      </c>
      <c r="D17" s="77">
        <f>IF(B5=1,"",D15+D16)</f>
        <v>3812.5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3812.5</v>
      </c>
      <c r="C19" s="78" t="s">
        <v>591</v>
      </c>
      <c r="D19" s="80">
        <f>IF(B5=1,"",D17+D18)</f>
        <v>3812.5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3812.5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3812.5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7950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8350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8350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3350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tabSelected="1" zoomScale="80" zoomScaleNormal="80"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B50" sqref="B50"/>
    </sheetView>
  </sheetViews>
  <sheetFormatPr defaultColWidth="9.140625" defaultRowHeight="12"/>
  <cols>
    <col min="1" max="1" width="53.85546875" customWidth="1"/>
    <col min="2" max="2" width="50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42" t="s">
        <v>624</v>
      </c>
      <c r="B35" s="142" t="s">
        <v>625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621</v>
      </c>
      <c r="B43" s="142" t="s">
        <v>626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622</v>
      </c>
      <c r="B44" s="142" t="s">
        <v>627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142" t="s">
        <v>628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618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619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620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621</v>
      </c>
      <c r="B91" s="142" t="s">
        <v>626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42" t="s">
        <v>624</v>
      </c>
      <c r="B92" s="142" t="s">
        <v>625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142" t="s">
        <v>627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622</v>
      </c>
      <c r="B94" s="142" t="s">
        <v>628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621</v>
      </c>
      <c r="B123" s="142" t="s">
        <v>626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622</v>
      </c>
      <c r="B124" s="142" t="s">
        <v>627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142" t="s">
        <v>628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621</v>
      </c>
      <c r="B137" s="142" t="s">
        <v>626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622</v>
      </c>
      <c r="B138" s="142" t="s">
        <v>627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142" t="s">
        <v>628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617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617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617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617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1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1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1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29"/>
      <c r="B191" s="29"/>
      <c r="C191" s="29"/>
      <c r="I191" s="31"/>
      <c r="J191" s="31"/>
      <c r="K191" s="31"/>
      <c r="M191" s="31"/>
      <c r="N191" s="31"/>
      <c r="O191" s="31"/>
      <c r="Q191" s="30"/>
      <c r="U191" s="31"/>
      <c r="X191" s="8"/>
      <c r="Y191" s="31"/>
      <c r="Z191" s="31"/>
      <c r="AA191" s="31"/>
      <c r="AB191" s="31"/>
      <c r="AC191" s="31"/>
      <c r="AD191" s="31"/>
    </row>
    <row r="192" spans="1:30" ht="12.75">
      <c r="A192" s="29"/>
      <c r="B192" s="29"/>
      <c r="C192" s="29"/>
      <c r="I192" s="31"/>
      <c r="J192" s="31"/>
      <c r="K192" s="31"/>
      <c r="M192" s="31"/>
      <c r="N192" s="31"/>
      <c r="O192" s="31"/>
      <c r="Q192" s="30"/>
      <c r="U192" s="31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  <c r="X232" s="8"/>
      <c r="Y232" s="31"/>
      <c r="Z232" s="31"/>
      <c r="AA232" s="31"/>
      <c r="AB232" s="31"/>
      <c r="AC232" s="31"/>
      <c r="AD232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2" activePane="bottomLeft" state="frozen"/>
      <selection pane="bottomLeft" activeCell="C99" sqref="C99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 hidden="1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 hidden="1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 hidden="1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 hidden="1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 hidden="1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 hidden="1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 hidden="1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 hidden="1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 hidden="1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 hidden="1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 hidden="1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 hidden="1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 hidden="1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 hidden="1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 hidden="1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 hidden="1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 hidden="1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 hidden="1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 hidden="1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 hidden="1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 hidden="1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 hidden="1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 hidden="1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 hidden="1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 hidden="1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 hidden="1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 hidden="1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 hidden="1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 hidden="1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 hidden="1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 hidden="1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 hidden="1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 hidden="1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 hidden="1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 hidden="1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 hidden="1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 hidden="1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 hidden="1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50</v>
      </c>
      <c r="G42" s="25">
        <f>Table2[[#This Row],[remoteListAmount]]-Table2[[#This Row],[remoteDiscountAmount]]</f>
        <v>125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80</v>
      </c>
      <c r="G43" s="25">
        <f>Table2[[#This Row],[remoteListAmount]]-Table2[[#This Row],[remoteDiscountAmount]]</f>
        <v>370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55</v>
      </c>
      <c r="G44" s="25">
        <f>Table2[[#This Row],[remoteListAmount]]-Table2[[#This Row],[remoteDiscountAmount]]</f>
        <v>120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85</v>
      </c>
      <c r="G45" s="25">
        <f>Table2[[#This Row],[remoteListAmount]]-Table2[[#This Row],[remoteDiscountAmount]]</f>
        <v>365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85</v>
      </c>
      <c r="G46" s="25">
        <f>Table2[[#This Row],[remoteListAmount]]-Table2[[#This Row],[remoteDiscountAmount]]</f>
        <v>365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50</v>
      </c>
      <c r="G47" s="25">
        <f>Table2[[#This Row],[remoteListAmount]]-Table2[[#This Row],[remoteDiscountAmount]]</f>
        <v>125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80</v>
      </c>
      <c r="G48" s="25">
        <f>Table2[[#This Row],[remoteListAmount]]-Table2[[#This Row],[remoteDiscountAmount]]</f>
        <v>370</v>
      </c>
      <c r="H48" t="s">
        <v>467</v>
      </c>
    </row>
    <row r="49" spans="1:10" hidden="1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 hidden="1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 hidden="1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 hidden="1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 hidden="1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 hidden="1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 hidden="1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 hidden="1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 hidden="1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 hidden="1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 hidden="1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 hidden="1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 hidden="1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 hidden="1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 hidden="1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 hidden="1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 hidden="1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 hidden="1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 hidden="1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 hidden="1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 hidden="1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 hidden="1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 hidden="1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 hidden="1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 hidden="1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 hidden="1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 hidden="1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 hidden="1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 hidden="1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 hidden="1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 hidden="1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 hidden="1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 hidden="1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 hidden="1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 hidden="1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 hidden="1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 hidden="1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 hidden="1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 hidden="1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 hidden="1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 hidden="1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Max S 17 95-DWHC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Max S 4 95-DWHC</v>
      </c>
      <c r="B4" t="str">
        <v>Amplifon Competitive</v>
      </c>
      <c r="C4" t="s">
        <v>7</v>
      </c>
    </row>
    <row r="5" spans="1:5">
      <c r="A5" t="str">
        <v>Beltone BTE Digital Boost Max S 6 95-DWHC</v>
      </c>
      <c r="B5" t="str">
        <v>Early Lease Upgrade</v>
      </c>
      <c r="C5" t="s">
        <v>64</v>
      </c>
    </row>
    <row r="6" spans="1:5">
      <c r="A6" t="str">
        <v>Beltone BTE Digital Boost Max S 9 95-DWHC</v>
      </c>
      <c r="B6" t="str">
        <v>Envision 17 Special</v>
      </c>
      <c r="C6" t="s">
        <v>596</v>
      </c>
    </row>
    <row r="7" spans="1:5">
      <c r="A7" t="str">
        <v>Beltone BTE Digital Boost Ultra 17 86DWHT</v>
      </c>
      <c r="B7" t="str">
        <v>Envision 6 Special</v>
      </c>
      <c r="C7" t="s">
        <v>65</v>
      </c>
    </row>
    <row r="8" spans="1:5">
      <c r="A8" t="str">
        <v>Beltone BTE Digital Boost Ultra 17 95DWT</v>
      </c>
      <c r="B8" t="str">
        <v>Envision 9 Special</v>
      </c>
    </row>
    <row r="9" spans="1:5">
      <c r="A9" t="str">
        <v>Beltone BTE Digital Boost Ultra 6 86DWHT</v>
      </c>
      <c r="B9" t="str">
        <v>Fast Funding</v>
      </c>
    </row>
    <row r="10" spans="1:5">
      <c r="A10" t="str">
        <v>Beltone BTE Digital Boost Ultra 6 95DWT</v>
      </c>
      <c r="B10" t="str">
        <v>GHB Competitive</v>
      </c>
    </row>
    <row r="11" spans="1:5">
      <c r="A11" t="str">
        <v>Beltone BTE Digital Boost Ultra 9 86DWHT</v>
      </c>
      <c r="B11" t="str">
        <v>HCS Competitive</v>
      </c>
    </row>
    <row r="12" spans="1:5">
      <c r="A12" t="str">
        <v>Beltone BTE Digital Boost Ultra 9 95DWT</v>
      </c>
      <c r="B12" t="str">
        <v>HearUSA Competitive</v>
      </c>
    </row>
    <row r="13" spans="1:5">
      <c r="A13" t="str">
        <v>Beltone BTE Digital Rely 2 66DW</v>
      </c>
      <c r="B13" t="str">
        <v>Humana</v>
      </c>
    </row>
    <row r="14" spans="1:5">
      <c r="A14" t="str">
        <v>Beltone BTE Digital Rely 2 76DW</v>
      </c>
      <c r="B14" t="str">
        <v>Marketing Offer</v>
      </c>
    </row>
    <row r="15" spans="1:5">
      <c r="A15" t="str">
        <v>Beltone BTE Digital Rely 2 86DWH</v>
      </c>
      <c r="B15" t="str">
        <v>Martins Point Competitive</v>
      </c>
    </row>
    <row r="16" spans="1:5">
      <c r="A16" t="str">
        <v>Beltone BTE Digital Rely 2 95DW</v>
      </c>
      <c r="B16" t="str">
        <v>Nations Hearing Competitive</v>
      </c>
    </row>
    <row r="17" spans="1:2">
      <c r="A17" t="str">
        <v>Beltone BTE Digital Rely 3 66DW</v>
      </c>
      <c r="B17" t="str">
        <v>Open House Special</v>
      </c>
    </row>
    <row r="18" spans="1:2">
      <c r="A18" t="str">
        <v>Beltone BTE Digital Rely 3 76DW</v>
      </c>
      <c r="B18" t="str">
        <v>Tri-Care</v>
      </c>
    </row>
    <row r="19" spans="1:2">
      <c r="A19" t="str">
        <v>Beltone BTE Digital Rely 3 86DWH</v>
      </c>
      <c r="B19" t="str">
        <v>TruHearing Competitive</v>
      </c>
    </row>
    <row r="20" spans="1:2">
      <c r="A20" t="str">
        <v>Beltone BTE Digital Rely 3 95DW</v>
      </c>
      <c r="B20" t="str">
        <v>UHCH Competitive</v>
      </c>
    </row>
    <row r="21" spans="1:2">
      <c r="A21" t="str">
        <v>Beltone BTE Digital Rely 4 66DW</v>
      </c>
      <c r="B21" t="str">
        <v>Veterans Discount</v>
      </c>
    </row>
    <row r="22" spans="1:2">
      <c r="A22" t="str">
        <v>Beltone BTE Digital Rely 4 76DW</v>
      </c>
      <c r="B22" t="str">
        <v>WellCare Competitive</v>
      </c>
    </row>
    <row r="23" spans="1:2">
      <c r="A23" t="str">
        <v>Beltone BTE Digital Rely 4 86DWH</v>
      </c>
    </row>
    <row r="24" spans="1:2">
      <c r="A24" t="str">
        <v>Beltone BTE Digital Rely 4 95DW</v>
      </c>
    </row>
    <row r="25" spans="1:2">
      <c r="A25" t="str">
        <v>Beltone CIC Digital Rely 3</v>
      </c>
    </row>
    <row r="26" spans="1:2">
      <c r="A26" t="str">
        <v>Beltone CIC Digital Rely 4</v>
      </c>
    </row>
    <row r="27" spans="1:2">
      <c r="A27" t="str">
        <v>Beltone ITC Digital Rely 2</v>
      </c>
    </row>
    <row r="28" spans="1:2">
      <c r="A28" t="str">
        <v>Beltone ITC Digital Rely 3</v>
      </c>
    </row>
    <row r="29" spans="1:2">
      <c r="A29" t="str">
        <v>Beltone ITC Digital Rely 4</v>
      </c>
    </row>
    <row r="30" spans="1:2">
      <c r="A30" t="str">
        <v>Beltone ITE Digital Rely 2</v>
      </c>
    </row>
    <row r="31" spans="1:2">
      <c r="A31" t="str">
        <v>Beltone ITE Digital Rely 3</v>
      </c>
    </row>
    <row r="32" spans="1:2">
      <c r="A32" t="str">
        <v>Beltone ITE Digital Rely 4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2026-04-08T15:31:42Z</dcterms:modified>
  <cp:category/>
  <cp:contentStatus/>
</cp:coreProperties>
</file>