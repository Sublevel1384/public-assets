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71" documentId="8_{964C585B-190F-46EC-9553-F8D486DF59FA}" xr6:coauthVersionLast="47" xr6:coauthVersionMax="47" xr10:uidLastSave="{F0AD13BE-B63E-491C-94F3-305F875E1C82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5" i="1" l="1"/>
  <c r="L42" i="1"/>
  <c r="J43" i="1"/>
  <c r="J42" i="1"/>
  <c r="L43" i="1"/>
  <c r="F162" i="1"/>
  <c r="G162" i="1" s="1"/>
  <c r="C162" i="1"/>
  <c r="F161" i="1"/>
  <c r="G161" i="1" s="1"/>
  <c r="K161" i="1" s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K162" i="1" l="1"/>
  <c r="G159" i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<sst xmlns="http://schemas.openxmlformats.org/spreadsheetml/2006/main" count="2856" uniqueCount="629">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</sst>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0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>
    <filterColumn colId="0">
      <filters>
        <filter val="Beltone RIE Digital Envision 17 62S-DRWC"/>
        <filter val="Beltone RIE Digital Envision 4 62S-DRWC"/>
        <filter val="Beltone RIE Digital Envision 6 62S-DRWC"/>
        <filter val="Beltone RIE Digital Envision 9 62S-DRWC"/>
      </filters>
    </filterColumn>
    <filterColumn colId="8">
      <filters>
        <filter val="&lt;none&gt;"/>
      </filters>
    </filterColumn>
  </autoFilter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8" t="s">
        <v>499</v>
      </c>
      <c r="C3" s="129"/>
    </row>
    <row r="4" spans="1:8" ht="13.5" thickBot="1">
      <c r="A4" s="74"/>
    </row>
    <row r="5" spans="1:8" ht="13.5" thickBot="1">
      <c r="A5" s="74" t="s">
        <v>0</v>
      </c>
      <c r="B5" s="128">
        <v>2</v>
      </c>
      <c r="C5" s="129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8" t="s">
        <v>597</v>
      </c>
      <c r="C7" s="129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7"/>
      <c r="B30" s="127"/>
      <c r="C30" s="127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C4" activePane="bottomRight" state="frozen"/>
      <selection pane="topRight" activeCell="B1" sqref="B1"/>
      <selection pane="bottomLeft" activeCell="A2" sqref="A2"/>
      <selection pane="bottomRight" activeCell="I167" sqref="I16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 hidden="1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 hidden="1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121">
        <f>750</f>
        <v>750</v>
      </c>
      <c r="K42" s="53">
        <f>HearingAids[[#This Row],[HAListPrice]]-HearingAids[[#This Row],[Discount Amount 2]]</f>
        <v>4050</v>
      </c>
      <c r="L42" s="53">
        <f>9350</f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 hidden="1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f>750</f>
        <v>750</v>
      </c>
      <c r="K43" s="53">
        <f>HearingAids[[#This Row],[HAListPrice]]-HearingAids[[#This Row],[Discount Amount 2]]</f>
        <v>3450</v>
      </c>
      <c r="L43" s="53">
        <f>8150</f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 hidden="1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 hidden="1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 hidden="1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 hidden="1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 hidden="1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 hidden="1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 hidden="1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 hidden="1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 hidden="1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 hidden="1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 hidden="1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 hidden="1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 hidden="1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 hidden="1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 hidden="1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 hidden="1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 hidden="1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 hidden="1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 hidden="1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 hidden="1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 hidden="1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 hidden="1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 hidden="1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 hidden="1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 hidden="1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 hidden="1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 hidden="1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 hidden="1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 hidden="1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 hidden="1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 hidden="1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 hidden="1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 hidden="1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 hidden="1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 hidden="1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 hidden="1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 hidden="1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 hidden="1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 hidden="1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 hidden="1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 hidden="1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 hidden="1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 hidden="1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 hidden="1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 hidden="1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 hidden="1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 hidden="1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 hidden="1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 hidden="1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2.75" hidden="1">
      <c r="A161" s="115" t="s">
        <v>496</v>
      </c>
      <c r="B161" s="115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17">
        <f>HearingAids[[#This Row],[haMSRP]]-HearingAids[[#This Row],[Discount Amount 1]]</f>
        <v>4800</v>
      </c>
      <c r="H161" s="119">
        <v>9850</v>
      </c>
      <c r="I161" s="120" t="s">
        <v>628</v>
      </c>
      <c r="J161" s="121">
        <v>1075</v>
      </c>
      <c r="K161" s="121">
        <f>HearingAids[[#This Row],[HAListPrice]]-HearingAids[[#This Row],[Discount Amount 2]]</f>
        <v>3725</v>
      </c>
      <c r="L161" s="121">
        <v>9350</v>
      </c>
      <c r="M161" s="126"/>
      <c r="N161" s="121"/>
      <c r="O161" s="120"/>
      <c r="P161" s="117">
        <v>7700</v>
      </c>
      <c r="Q161" s="122">
        <v>1</v>
      </c>
      <c r="R161" s="122" t="s">
        <v>13</v>
      </c>
      <c r="S161" s="122">
        <v>250</v>
      </c>
      <c r="T161" s="124" t="s">
        <v>14</v>
      </c>
      <c r="U161" s="124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2.75" hidden="1">
      <c r="A162" s="115" t="s">
        <v>497</v>
      </c>
      <c r="B162" s="115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17">
        <f>HearingAids[[#This Row],[haMSRP]]-HearingAids[[#This Row],[Discount Amount 1]]</f>
        <v>4200</v>
      </c>
      <c r="H162" s="119">
        <v>8650</v>
      </c>
      <c r="I162" s="120" t="s">
        <v>628</v>
      </c>
      <c r="J162" s="121">
        <v>975</v>
      </c>
      <c r="K162" s="121">
        <f>HearingAids[[#This Row],[HAListPrice]]-HearingAids[[#This Row],[Discount Amount 2]]</f>
        <v>3225</v>
      </c>
      <c r="L162" s="121">
        <v>8150</v>
      </c>
      <c r="M162" s="126"/>
      <c r="N162" s="121"/>
      <c r="O162" s="120"/>
      <c r="P162" s="117">
        <v>6700</v>
      </c>
      <c r="Q162" s="122">
        <v>1</v>
      </c>
      <c r="R162" s="122" t="s">
        <v>13</v>
      </c>
      <c r="S162" s="122">
        <v>250</v>
      </c>
      <c r="T162" s="124" t="s">
        <v>14</v>
      </c>
      <c r="U162" s="124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2025-12-23T14:33:58Z</dcterms:modified>
  <cp:category/>
  <cp:contentStatus/>
</cp:coreProperties>
</file>