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76" documentId="8_{964C585B-190F-46EC-9553-F8D486DF59FA}" xr6:coauthVersionLast="47" xr6:coauthVersionMax="47" xr10:uidLastSave="{25B2A292-261B-48F2-8ED2-08D123E3FF90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6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80" i="1"/>
  <c r="C156" i="1"/>
  <c r="C170" i="1"/>
  <c r="C184" i="1"/>
  <c r="C34" i="1"/>
  <c r="C45" i="1"/>
  <c r="C62" i="1"/>
  <c r="C81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82" i="1"/>
  <c r="C160" i="1"/>
  <c r="C174" i="1"/>
  <c r="C188" i="1"/>
  <c r="C36" i="1"/>
  <c r="C47" i="1"/>
  <c r="C64" i="1"/>
  <c r="C84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5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4" i="1"/>
  <c r="C97" i="1"/>
  <c r="C91" i="1"/>
  <c r="C92" i="1"/>
  <c r="C95" i="1"/>
  <c r="C98" i="1"/>
  <c r="C93" i="1"/>
  <c r="C96" i="1"/>
  <c r="C99" i="1"/>
  <c r="C87" i="1"/>
  <c r="C165" i="1"/>
  <c r="C179" i="1"/>
  <c r="C39" i="1"/>
  <c r="C193" i="1"/>
  <c r="C40" i="1"/>
  <c r="C41" i="1"/>
  <c r="C50" i="1"/>
  <c r="C67" i="1"/>
  <c r="C88" i="1"/>
  <c r="C166" i="1"/>
  <c r="C69" i="1"/>
  <c r="C70" i="1"/>
  <c r="C71" i="1"/>
  <c r="C72" i="1"/>
  <c r="C73" i="1"/>
  <c r="C74" i="1"/>
  <c r="C180" i="1"/>
  <c r="C194" i="1"/>
  <c r="C42" i="1"/>
  <c r="C51" i="1"/>
  <c r="C68" i="1"/>
  <c r="C89" i="1"/>
  <c r="C167" i="1"/>
  <c r="C181" i="1"/>
  <c r="C195" i="1"/>
  <c r="C75" i="1"/>
  <c r="C77" i="1"/>
  <c r="C78" i="1"/>
  <c r="C79" i="1"/>
  <c r="C83" i="1"/>
  <c r="C86" i="1"/>
  <c r="F89" i="1"/>
  <c r="J89" i="1" s="1"/>
  <c r="F68" i="1"/>
  <c r="J68" i="1" s="1"/>
  <c r="F51" i="1"/>
  <c r="J51" i="1" s="1"/>
  <c r="F88" i="1"/>
  <c r="J88" i="1" s="1"/>
  <c r="F67" i="1"/>
  <c r="J67" i="1" s="1"/>
  <c r="F50" i="1"/>
  <c r="J50" i="1" s="1"/>
  <c r="F87" i="1"/>
  <c r="J87" i="1" s="1"/>
  <c r="F66" i="1"/>
  <c r="J66" i="1" s="1"/>
  <c r="F49" i="1"/>
  <c r="J49" i="1" s="1"/>
  <c r="F85" i="1"/>
  <c r="J85" i="1" s="1"/>
  <c r="F65" i="1"/>
  <c r="J65" i="1" s="1"/>
  <c r="F48" i="1"/>
  <c r="J48" i="1" s="1"/>
  <c r="F84" i="1"/>
  <c r="J84" i="1" s="1"/>
  <c r="F64" i="1"/>
  <c r="J64" i="1" s="1"/>
  <c r="F47" i="1"/>
  <c r="J47" i="1" s="1"/>
  <c r="F82" i="1"/>
  <c r="J82" i="1" s="1"/>
  <c r="F63" i="1"/>
  <c r="J63" i="1" s="1"/>
  <c r="F46" i="1"/>
  <c r="J46" i="1" s="1"/>
  <c r="F81" i="1"/>
  <c r="J81" i="1" s="1"/>
  <c r="F62" i="1"/>
  <c r="J62" i="1" s="1"/>
  <c r="F45" i="1"/>
  <c r="J45" i="1" s="1"/>
  <c r="F80" i="1"/>
  <c r="J80" i="1" s="1"/>
  <c r="F61" i="1"/>
  <c r="J61" i="1" s="1"/>
  <c r="F44" i="1"/>
  <c r="J44" i="1" s="1"/>
  <c r="F76" i="1"/>
  <c r="J76" i="1" s="1"/>
  <c r="F60" i="1"/>
  <c r="J60" i="1" s="1"/>
  <c r="F43" i="1"/>
  <c r="J43" i="1" s="1"/>
  <c r="F195" i="1"/>
  <c r="J195" i="1" s="1"/>
  <c r="N43" i="1"/>
  <c r="N60" i="1"/>
  <c r="N76" i="1"/>
  <c r="N44" i="1"/>
  <c r="N61" i="1"/>
  <c r="N80" i="1"/>
  <c r="N45" i="1"/>
  <c r="N62" i="1"/>
  <c r="N81" i="1"/>
  <c r="N46" i="1"/>
  <c r="N63" i="1"/>
  <c r="N82" i="1"/>
  <c r="L93" i="1"/>
  <c r="L92" i="1"/>
  <c r="L91" i="1"/>
  <c r="L90" i="1"/>
  <c r="L75" i="1"/>
  <c r="L96" i="1"/>
  <c r="L95" i="1"/>
  <c r="L94" i="1"/>
  <c r="G195" i="1" l="1"/>
  <c r="G66" i="1"/>
  <c r="G49" i="1"/>
  <c r="G48" i="1"/>
  <c r="K48" i="1" s="1"/>
  <c r="O48" i="1" s="1"/>
  <c r="G81" i="1"/>
  <c r="G88" i="1"/>
  <c r="K88" i="1" s="1"/>
  <c r="O88" i="1" s="1"/>
  <c r="G50" i="1"/>
  <c r="G44" i="1"/>
  <c r="G76" i="1"/>
  <c r="G67" i="1"/>
  <c r="K67" i="1" s="1"/>
  <c r="O67" i="1" s="1"/>
  <c r="G63" i="1"/>
  <c r="K63" i="1" s="1"/>
  <c r="O63" i="1" s="1"/>
  <c r="G60" i="1"/>
  <c r="K60" i="1" s="1"/>
  <c r="O60" i="1" s="1"/>
  <c r="G82" i="1"/>
  <c r="G43" i="1"/>
  <c r="K43" i="1" s="1"/>
  <c r="O43" i="1" s="1"/>
  <c r="G51" i="1"/>
  <c r="K51" i="1" s="1"/>
  <c r="O51" i="1" s="1"/>
  <c r="G46" i="1"/>
  <c r="K46" i="1" s="1"/>
  <c r="O46" i="1" s="1"/>
  <c r="G89" i="1"/>
  <c r="K89" i="1" s="1"/>
  <c r="O89" i="1" s="1"/>
  <c r="G87" i="1"/>
  <c r="K87" i="1" s="1"/>
  <c r="O87" i="1" s="1"/>
  <c r="G68" i="1"/>
  <c r="K68" i="1" s="1"/>
  <c r="O68" i="1" s="1"/>
  <c r="G84" i="1"/>
  <c r="K84" i="1" s="1"/>
  <c r="O84" i="1" s="1"/>
  <c r="G64" i="1"/>
  <c r="K64" i="1" s="1"/>
  <c r="O64" i="1" s="1"/>
  <c r="G62" i="1"/>
  <c r="K62" i="1" s="1"/>
  <c r="O62" i="1" s="1"/>
  <c r="G80" i="1"/>
  <c r="K80" i="1" s="1"/>
  <c r="O80" i="1" s="1"/>
  <c r="G61" i="1"/>
  <c r="K61" i="1" s="1"/>
  <c r="O61" i="1" s="1"/>
  <c r="G85" i="1"/>
  <c r="K85" i="1" s="1"/>
  <c r="O85" i="1" s="1"/>
  <c r="G47" i="1"/>
  <c r="G45" i="1"/>
  <c r="K45" i="1" s="1"/>
  <c r="O45" i="1" s="1"/>
  <c r="G65" i="1"/>
  <c r="K65" i="1" s="1"/>
  <c r="O65" i="1" s="1"/>
  <c r="K44" i="1"/>
  <c r="O44" i="1" s="1"/>
  <c r="K50" i="1"/>
  <c r="O50" i="1" s="1"/>
  <c r="K66" i="1"/>
  <c r="O66" i="1" s="1"/>
  <c r="K76" i="1"/>
  <c r="O76" i="1" s="1"/>
  <c r="K82" i="1"/>
  <c r="O82" i="1" s="1"/>
  <c r="K47" i="1"/>
  <c r="O47" i="1" s="1"/>
  <c r="K81" i="1"/>
  <c r="O81" i="1" s="1"/>
  <c r="K49" i="1"/>
  <c r="O49" i="1" s="1"/>
  <c r="F99" i="1" l="1"/>
  <c r="F96" i="1"/>
  <c r="F93" i="1"/>
  <c r="F98" i="1"/>
  <c r="F95" i="1"/>
  <c r="F92" i="1"/>
  <c r="F91" i="1"/>
  <c r="F97" i="1"/>
  <c r="F94" i="1"/>
  <c r="F90" i="1"/>
  <c r="F86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3" i="1"/>
  <c r="F83" i="1"/>
  <c r="G83" i="1" s="1"/>
  <c r="F194" i="1"/>
  <c r="G194" i="1" s="1"/>
  <c r="F180" i="1"/>
  <c r="G180" i="1" s="1"/>
  <c r="F166" i="1"/>
  <c r="G166" i="1" s="1"/>
  <c r="F79" i="1"/>
  <c r="G79" i="1" s="1"/>
  <c r="F193" i="1"/>
  <c r="G193" i="1" s="1"/>
  <c r="F179" i="1"/>
  <c r="G179" i="1" s="1"/>
  <c r="F165" i="1"/>
  <c r="G165" i="1" s="1"/>
  <c r="F78" i="1"/>
  <c r="G78" i="1" s="1"/>
  <c r="F189" i="1"/>
  <c r="F175" i="1"/>
  <c r="G175" i="1" s="1"/>
  <c r="F162" i="1"/>
  <c r="F77" i="1"/>
  <c r="F75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1" i="1"/>
  <c r="K91" i="1" s="1"/>
  <c r="J117" i="1"/>
  <c r="G117" i="1"/>
  <c r="G106" i="1"/>
  <c r="K106" i="1" s="1"/>
  <c r="J18" i="1"/>
  <c r="G18" i="1"/>
  <c r="J77" i="1"/>
  <c r="G77" i="1"/>
  <c r="J123" i="1"/>
  <c r="G123" i="1"/>
  <c r="J22" i="1"/>
  <c r="G22" i="1"/>
  <c r="J127" i="1"/>
  <c r="G127" i="1"/>
  <c r="J189" i="1"/>
  <c r="G189" i="1"/>
  <c r="G58" i="1"/>
  <c r="K58" i="1" s="1"/>
  <c r="G12" i="1"/>
  <c r="K12" i="1" s="1"/>
  <c r="J135" i="1"/>
  <c r="G135" i="1"/>
  <c r="J86" i="1"/>
  <c r="G86" i="1"/>
  <c r="G94" i="1"/>
  <c r="K94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J147" i="1"/>
  <c r="G147" i="1"/>
  <c r="J54" i="1"/>
  <c r="G54" i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G148" i="1"/>
  <c r="K148" i="1" s="1"/>
  <c r="J39" i="1"/>
  <c r="G39" i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J4" i="1"/>
  <c r="G4" i="1"/>
  <c r="J149" i="1"/>
  <c r="G149" i="1"/>
  <c r="J55" i="1"/>
  <c r="G55" i="1"/>
  <c r="J71" i="1"/>
  <c r="G71" i="1"/>
  <c r="G134" i="1"/>
  <c r="K134" i="1" s="1"/>
  <c r="J111" i="1"/>
  <c r="G111" i="1"/>
  <c r="J151" i="1"/>
  <c r="G151" i="1"/>
  <c r="J178" i="1"/>
  <c r="G178" i="1"/>
  <c r="G93" i="1"/>
  <c r="K93" i="1" s="1"/>
  <c r="J119" i="1"/>
  <c r="G119" i="1"/>
  <c r="G75" i="1"/>
  <c r="K75" i="1" s="1"/>
  <c r="G146" i="1"/>
  <c r="K146" i="1" s="1"/>
  <c r="G152" i="1"/>
  <c r="K152" i="1" s="1"/>
  <c r="G90" i="1"/>
  <c r="K90" i="1" s="1"/>
  <c r="J139" i="1"/>
  <c r="G139" i="1"/>
  <c r="G69" i="1"/>
  <c r="K69" i="1" s="1"/>
  <c r="G92" i="1"/>
  <c r="K92" i="1" s="1"/>
  <c r="G132" i="1"/>
  <c r="K132" i="1" s="1"/>
  <c r="G136" i="1"/>
  <c r="K136" i="1" s="1"/>
  <c r="J153" i="1"/>
  <c r="G153" i="1"/>
  <c r="G52" i="1"/>
  <c r="K52" i="1" s="1"/>
  <c r="G96" i="1"/>
  <c r="K96" i="1" s="1"/>
  <c r="G140" i="1"/>
  <c r="K140" i="1" s="1"/>
  <c r="J74" i="1"/>
  <c r="G74" i="1"/>
  <c r="K74" i="1" s="1"/>
  <c r="G142" i="1"/>
  <c r="K142" i="1" s="1"/>
  <c r="J182" i="1"/>
  <c r="G182" i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7" i="1"/>
  <c r="K97" i="1" s="1"/>
  <c r="J103" i="1"/>
  <c r="G103" i="1"/>
  <c r="G128" i="1"/>
  <c r="K128" i="1" s="1"/>
  <c r="J53" i="1"/>
  <c r="G53" i="1"/>
  <c r="G3" i="1"/>
  <c r="K3" i="1" s="1"/>
  <c r="G98" i="1"/>
  <c r="K98" i="1" s="1"/>
  <c r="J15" i="1"/>
  <c r="G15" i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 s="1"/>
  <c r="J160" i="1"/>
  <c r="K160" i="1" s="1"/>
  <c r="J166" i="1"/>
  <c r="K166" i="1" s="1"/>
  <c r="J184" i="1"/>
  <c r="K184" i="1" s="1"/>
  <c r="J192" i="1"/>
  <c r="K192" i="1" s="1"/>
  <c r="J168" i="1"/>
  <c r="K168" i="1" s="1"/>
  <c r="J172" i="1"/>
  <c r="K172" i="1" s="1"/>
  <c r="J161" i="1"/>
  <c r="K161" i="1" s="1"/>
  <c r="J194" i="1"/>
  <c r="K194" i="1" s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79" i="1"/>
  <c r="K79" i="1" s="1"/>
  <c r="J72" i="1"/>
  <c r="K72" i="1" s="1"/>
  <c r="J59" i="1"/>
  <c r="K59" i="1" s="1"/>
  <c r="J20" i="1"/>
  <c r="K20" i="1" s="1"/>
  <c r="J78" i="1"/>
  <c r="K78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3" i="1"/>
  <c r="K83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J24" i="1"/>
  <c r="K24" i="1" s="1"/>
  <c r="J167" i="1"/>
  <c r="K167" i="1" s="1"/>
  <c r="K121" i="1"/>
  <c r="K195" i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23" i="1" l="1"/>
  <c r="K55" i="1"/>
  <c r="K178" i="1"/>
  <c r="K139" i="1"/>
  <c r="K9" i="1"/>
  <c r="K143" i="1"/>
  <c r="K71" i="1"/>
  <c r="K117" i="1"/>
  <c r="K54" i="1"/>
  <c r="K4" i="1"/>
  <c r="K39" i="1"/>
  <c r="K153" i="1"/>
  <c r="K162" i="1"/>
  <c r="K127" i="1"/>
  <c r="K115" i="1"/>
  <c r="K15" i="1"/>
  <c r="K182" i="1"/>
  <c r="K119" i="1"/>
  <c r="K107" i="1"/>
  <c r="K22" i="1"/>
  <c r="K149" i="1"/>
  <c r="K151" i="1"/>
  <c r="K18" i="1"/>
  <c r="K86" i="1"/>
  <c r="K53" i="1"/>
  <c r="K77" i="1"/>
  <c r="K103" i="1"/>
  <c r="K111" i="1"/>
  <c r="K133" i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O197" i="1" s="1"/>
  <c r="K198" i="1"/>
  <c r="O198" i="1" s="1"/>
  <c r="D14" i="2" a="1"/>
  <c r="B1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B16" i="2" a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5" i="4" l="1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B3" i="3" l="1"/>
  <c r="A3" i="3"/>
  <c r="C28" i="2"/>
  <c r="B28" i="2"/>
  <c r="B25" i="2"/>
  <c r="B26" i="2" s="1"/>
  <c r="B24" i="2"/>
  <c r="D18" i="2"/>
  <c r="B18" i="2"/>
  <c r="D16" i="2"/>
  <c r="B16" i="2"/>
  <c r="D14" i="2"/>
  <c r="B14" i="2"/>
  <c r="D13" i="2"/>
  <c r="B13" i="2"/>
  <c r="B15" i="2" s="1"/>
  <c r="B17" i="2" s="1"/>
  <c r="B19" i="2" s="1"/>
  <c r="C22" i="2" s="1"/>
  <c r="D15" i="2" l="1"/>
  <c r="D17" i="2" s="1"/>
  <c r="D19" i="2" s="1"/>
  <c r="C23" i="2" s="1"/>
  <c r="C25" i="2" a="1"/>
  <c r="C24" i="2" a="1"/>
  <c r="C24" i="2" s="1"/>
  <c r="C25" i="2" l="1"/>
  <c r="C26" i="2" l="1"/>
  <c r="C27" i="2" s="1"/>
  <c r="C29" i="2" s="1"/>
  <c r="C33" i="2" s="1"/>
  <c r="C34" i="2" s="1"/>
  <c r="C3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<sst xmlns="http://schemas.openxmlformats.org/spreadsheetml/2006/main" count="3123" uniqueCount="646">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</sst>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43" fontId="0" fillId="0" borderId="14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>
    <filterColumn colId="0">
      <filters>
        <filter val="Beltone RIE Digital Illuminate 9 62S-DRWC"/>
      </filters>
    </filterColumn>
  </autoFilter>
  <sortState xmlns:xlrd2="http://schemas.microsoft.com/office/spreadsheetml/2017/richdata2" ref="A90:V99">
    <sortCondition ref="I1:I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0" t="s">
        <v>1</v>
      </c>
      <c r="C3" s="111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0">
        <v>2</v>
      </c>
      <c r="C5" s="111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0" t="s">
        <v>4</v>
      </c>
      <c r="C7" s="111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9"/>
      <c r="B30" s="109"/>
      <c r="C30" s="109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2"/>
  <sheetViews>
    <sheetView tabSelected="1" zoomScaleNormal="100" workbookViewId="0">
      <pane xSplit="1" ySplit="1" topLeftCell="F93" activePane="bottomRight" state="frozen"/>
      <selection pane="topRight" activeCell="B1" sqref="B1"/>
      <selection pane="bottomLeft" activeCell="A2" sqref="A2"/>
      <selection pane="bottomRight" activeCell="M202" sqref="M202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 hidden="1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 hidden="1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 hidden="1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 hidden="1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 hidden="1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 hidden="1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 hidden="1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 hidden="1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 hidden="1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 hidden="1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 hidden="1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 hidden="1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 hidden="1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 hidden="1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 hidden="1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 hidden="1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 hidden="1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 hidden="1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 hidden="1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 hidden="1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 hidden="1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 hidden="1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 hidden="1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 hidden="1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 hidden="1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 hidden="1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 hidden="1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 hidden="1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 hidden="1">
      <c r="A30" s="42" t="s">
        <v>47</v>
      </c>
      <c r="B30" s="42" t="s">
        <v>48</v>
      </c>
      <c r="C30" s="43">
        <f>(HearingAids7[[#This Row],[haMSRP]]*2)+HearingAids7[[#This Row],[chargerPrice]]</f>
        <v>4903</v>
      </c>
      <c r="D30" s="105">
        <v>2339</v>
      </c>
      <c r="E30" s="44" t="s">
        <v>10</v>
      </c>
      <c r="F30" s="44">
        <f>HearingAids7[[#This Row],[haMSRP]]-((HearingAids7[[#This Row],[ListPriceBinural]]-HearingAids7[[#This Row],[chargerPrice]])/2)</f>
        <v>456.5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 hidden="1">
      <c r="A31" s="42" t="s">
        <v>47</v>
      </c>
      <c r="B31" s="42" t="s">
        <v>48</v>
      </c>
      <c r="C31" s="43">
        <f>(HearingAids7[[#This Row],[haMSRP]]*2)+HearingAids7[[#This Row],[chargerPrice]]</f>
        <v>4903</v>
      </c>
      <c r="D31" s="105">
        <v>2339</v>
      </c>
      <c r="E31" s="44" t="s">
        <v>10</v>
      </c>
      <c r="F31" s="44">
        <f>HearingAids7[[#This Row],[haMSRP]]-((HearingAids7[[#This Row],[ListPriceBinural]]-HearingAids7[[#This Row],[chargerPrice]])/2)</f>
        <v>456.5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 hidden="1">
      <c r="A32" s="42" t="s">
        <v>47</v>
      </c>
      <c r="B32" s="42" t="s">
        <v>48</v>
      </c>
      <c r="C32" s="43">
        <f>(HearingAids7[[#This Row],[haMSRP]]*2)+HearingAids7[[#This Row],[chargerPrice]]</f>
        <v>4903</v>
      </c>
      <c r="D32" s="105">
        <v>2339</v>
      </c>
      <c r="E32" s="44" t="s">
        <v>10</v>
      </c>
      <c r="F32" s="44">
        <f>HearingAids7[[#This Row],[haMSRP]]-((HearingAids7[[#This Row],[ListPriceBinural]]-HearingAids7[[#This Row],[chargerPrice]])/2)</f>
        <v>456.5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 hidden="1">
      <c r="A33" s="42" t="s">
        <v>47</v>
      </c>
      <c r="B33" s="42" t="s">
        <v>48</v>
      </c>
      <c r="C33" s="43">
        <f>(HearingAids7[[#This Row],[haMSRP]]*2)+HearingAids7[[#This Row],[chargerPrice]]</f>
        <v>4903</v>
      </c>
      <c r="D33" s="105">
        <v>2339</v>
      </c>
      <c r="E33" s="44" t="s">
        <v>10</v>
      </c>
      <c r="F33" s="44">
        <f>HearingAids7[[#This Row],[haMSRP]]-((HearingAids7[[#This Row],[ListPriceBinural]]-HearingAids7[[#This Row],[chargerPrice]])/2)</f>
        <v>456.5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 hidden="1">
      <c r="A34" s="42" t="s">
        <v>47</v>
      </c>
      <c r="B34" s="42" t="s">
        <v>48</v>
      </c>
      <c r="C34" s="43">
        <f>(HearingAids7[[#This Row],[haMSRP]]*2)+HearingAids7[[#This Row],[chargerPrice]]</f>
        <v>4903</v>
      </c>
      <c r="D34" s="105">
        <v>2339</v>
      </c>
      <c r="E34" s="44" t="s">
        <v>10</v>
      </c>
      <c r="F34" s="44">
        <f>HearingAids7[[#This Row],[haMSRP]]-((HearingAids7[[#This Row],[ListPriceBinural]]-HearingAids7[[#This Row],[chargerPrice]])/2)</f>
        <v>456.5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 hidden="1">
      <c r="A35" s="42" t="s">
        <v>47</v>
      </c>
      <c r="B35" s="42" t="s">
        <v>48</v>
      </c>
      <c r="C35" s="43">
        <f>(HearingAids7[[#This Row],[haMSRP]]*2)+HearingAids7[[#This Row],[chargerPrice]]</f>
        <v>4903</v>
      </c>
      <c r="D35" s="105">
        <v>2339</v>
      </c>
      <c r="E35" s="44" t="s">
        <v>10</v>
      </c>
      <c r="F35" s="44">
        <f>HearingAids7[[#This Row],[haMSRP]]-((HearingAids7[[#This Row],[ListPriceBinural]]-HearingAids7[[#This Row],[chargerPrice]])/2)</f>
        <v>456.5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 hidden="1">
      <c r="A36" s="42" t="s">
        <v>47</v>
      </c>
      <c r="B36" s="42" t="s">
        <v>48</v>
      </c>
      <c r="C36" s="43">
        <f>(HearingAids7[[#This Row],[haMSRP]]*2)+HearingAids7[[#This Row],[chargerPrice]]</f>
        <v>4903</v>
      </c>
      <c r="D36" s="105">
        <v>2339</v>
      </c>
      <c r="E36" s="44" t="s">
        <v>10</v>
      </c>
      <c r="F36" s="44">
        <f>HearingAids7[[#This Row],[haMSRP]]-((HearingAids7[[#This Row],[ListPriceBinural]]-HearingAids7[[#This Row],[chargerPrice]])/2)</f>
        <v>456.5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 hidden="1">
      <c r="A37" s="42" t="s">
        <v>47</v>
      </c>
      <c r="B37" s="42" t="s">
        <v>48</v>
      </c>
      <c r="C37" s="43">
        <f>(HearingAids7[[#This Row],[haMSRP]]*2)+HearingAids7[[#This Row],[chargerPrice]]</f>
        <v>4903</v>
      </c>
      <c r="D37" s="105">
        <v>2339</v>
      </c>
      <c r="E37" s="46" t="s">
        <v>10</v>
      </c>
      <c r="F37" s="44">
        <f>HearingAids7[[#This Row],[haMSRP]]-((HearingAids7[[#This Row],[ListPriceBinural]]-HearingAids7[[#This Row],[chargerPrice]])/2)</f>
        <v>456.5</v>
      </c>
      <c r="G37" s="44">
        <f>HearingAids7[[#This Row],[haMSRP]]-HearingAids7[[#This Row],[Discount Amount 1]]</f>
        <v>1882.5</v>
      </c>
      <c r="H37" s="105">
        <v>3990</v>
      </c>
      <c r="I37" s="55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 hidden="1">
      <c r="A38" s="42" t="s">
        <v>47</v>
      </c>
      <c r="B38" s="42" t="s">
        <v>48</v>
      </c>
      <c r="C38" s="43">
        <f>(HearingAids7[[#This Row],[haMSRP]]*2)+HearingAids7[[#This Row],[chargerPrice]]</f>
        <v>4903</v>
      </c>
      <c r="D38" s="105">
        <v>2339</v>
      </c>
      <c r="E38" s="46" t="s">
        <v>10</v>
      </c>
      <c r="F38" s="44">
        <f>HearingAids7[[#This Row],[haMSRP]]-((HearingAids7[[#This Row],[ListPriceBinural]]-HearingAids7[[#This Row],[chargerPrice]])/2)</f>
        <v>456.5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 hidden="1">
      <c r="A39" s="42" t="s">
        <v>47</v>
      </c>
      <c r="B39" s="42" t="s">
        <v>48</v>
      </c>
      <c r="C39" s="43">
        <f>(HearingAids7[[#This Row],[haMSRP]]*2)+HearingAids7[[#This Row],[chargerPrice]]</f>
        <v>4903</v>
      </c>
      <c r="D39" s="105">
        <v>2339</v>
      </c>
      <c r="E39" s="46" t="s">
        <v>10</v>
      </c>
      <c r="F39" s="44">
        <f>HearingAids7[[#This Row],[haMSRP]]-((HearingAids7[[#This Row],[ListPriceBinural]]-HearingAids7[[#This Row],[chargerPrice]])/2)</f>
        <v>456.5</v>
      </c>
      <c r="G39" s="44">
        <f>HearingAids7[[#This Row],[haMSRP]]-HearingAids7[[#This Row],[Discount Amount 1]]</f>
        <v>1882.5</v>
      </c>
      <c r="H39" s="105">
        <v>3990</v>
      </c>
      <c r="I39" s="55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 hidden="1">
      <c r="A40" s="42" t="s">
        <v>47</v>
      </c>
      <c r="B40" s="42" t="s">
        <v>48</v>
      </c>
      <c r="C40" s="43">
        <f>(HearingAids7[[#This Row],[haMSRP]]*2)+HearingAids7[[#This Row],[chargerPrice]]</f>
        <v>4903</v>
      </c>
      <c r="D40" s="105">
        <v>2339</v>
      </c>
      <c r="E40" s="46" t="s">
        <v>10</v>
      </c>
      <c r="F40" s="44">
        <f>HearingAids7[[#This Row],[haMSRP]]-((HearingAids7[[#This Row],[ListPriceBinural]]-HearingAids7[[#This Row],[chargerPrice]])/2)</f>
        <v>456.5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 hidden="1">
      <c r="A41" s="42" t="s">
        <v>47</v>
      </c>
      <c r="B41" s="42" t="s">
        <v>48</v>
      </c>
      <c r="C41" s="43">
        <f>(HearingAids7[[#This Row],[haMSRP]]*2)+HearingAids7[[#This Row],[chargerPrice]]</f>
        <v>4903</v>
      </c>
      <c r="D41" s="105">
        <v>2339</v>
      </c>
      <c r="E41" s="46" t="s">
        <v>10</v>
      </c>
      <c r="F41" s="44">
        <f>HearingAids7[[#This Row],[haMSRP]]-((HearingAids7[[#This Row],[ListPriceBinural]]-HearingAids7[[#This Row],[chargerPrice]])/2)</f>
        <v>456.5</v>
      </c>
      <c r="G41" s="44">
        <f>HearingAids7[[#This Row],[haMSRP]]-HearingAids7[[#This Row],[Discount Amount 1]]</f>
        <v>1882.5</v>
      </c>
      <c r="H41" s="105">
        <v>3990</v>
      </c>
      <c r="I41" s="55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 hidden="1">
      <c r="A42" s="42" t="s">
        <v>47</v>
      </c>
      <c r="B42" s="42" t="s">
        <v>48</v>
      </c>
      <c r="C42" s="43">
        <f>(HearingAids7[[#This Row],[haMSRP]]*2)+HearingAids7[[#This Row],[chargerPrice]]</f>
        <v>4903</v>
      </c>
      <c r="D42" s="105">
        <v>2339</v>
      </c>
      <c r="E42" s="46" t="s">
        <v>10</v>
      </c>
      <c r="F42" s="44">
        <f>HearingAids7[[#This Row],[haMSRP]]-((HearingAids7[[#This Row],[ListPriceBinural]]-HearingAids7[[#This Row],[chargerPrice]])/2)</f>
        <v>456.5</v>
      </c>
      <c r="G42" s="44">
        <f>HearingAids7[[#This Row],[haMSRP]]-HearingAids7[[#This Row],[Discount Amount 1]]</f>
        <v>1882.5</v>
      </c>
      <c r="H42" s="105">
        <v>3990</v>
      </c>
      <c r="I42" s="55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 hidden="1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 hidden="1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 hidden="1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 hidden="1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 hidden="1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 hidden="1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 hidden="1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 hidden="1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 hidden="1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 hidden="1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 hidden="1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 hidden="1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 hidden="1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 hidden="1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 hidden="1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 hidden="1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 hidden="1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 hidden="1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 hidden="1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 hidden="1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 hidden="1">
      <c r="A63" s="42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 hidden="1">
      <c r="A64" s="42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 hidden="1">
      <c r="A65" s="42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 hidden="1">
      <c r="A66" s="42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 hidden="1">
      <c r="A67" s="42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 hidden="1">
      <c r="A68" s="42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 hidden="1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 hidden="1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 hidden="1">
      <c r="A71" s="42" t="s">
        <v>57</v>
      </c>
      <c r="B71" s="42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 hidden="1">
      <c r="A72" s="42" t="s">
        <v>57</v>
      </c>
      <c r="B72" s="42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 hidden="1">
      <c r="A73" s="42" t="s">
        <v>57</v>
      </c>
      <c r="B73" s="42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55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 hidden="1">
      <c r="A74" s="42" t="s">
        <v>57</v>
      </c>
      <c r="B74" s="42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55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55"/>
      <c r="N74" s="46"/>
      <c r="O74" s="107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 hidden="1">
      <c r="A75" s="42" t="s">
        <v>59</v>
      </c>
      <c r="B75" s="42" t="s">
        <v>60</v>
      </c>
      <c r="C75" s="43">
        <f>(HearingAids7[[#This Row],[haMSRP]]*2)+HearingAids7[[#This Row],[chargerPrice]]</f>
        <v>9683</v>
      </c>
      <c r="D75" s="105">
        <v>4679</v>
      </c>
      <c r="E75" s="46" t="s">
        <v>10</v>
      </c>
      <c r="F75" s="44">
        <f>HearingAids7[[#This Row],[haMSRP]]-((HearingAids7[[#This Row],[ListPriceBinural]]-HearingAids7[[#This Row],[chargerPrice]])/2)</f>
        <v>666.5</v>
      </c>
      <c r="G75" s="44">
        <f>HearingAids7[[#This Row],[haMSRP]]-HearingAids7[[#This Row],[Discount Amount 1]]</f>
        <v>4012.5</v>
      </c>
      <c r="H75" s="105">
        <v>8350</v>
      </c>
      <c r="I75" s="55" t="s">
        <v>45</v>
      </c>
      <c r="J75" s="46">
        <v>0</v>
      </c>
      <c r="K75" s="46">
        <f>HearingAids7[[#This Row],[HAListPrice]]-HearingAids7[[#This Row],[Discount Amount 2]]</f>
        <v>4012.5</v>
      </c>
      <c r="L75" s="105">
        <f>HearingAids7[[#This Row],[ListPriceBinural]]</f>
        <v>8350</v>
      </c>
      <c r="M75" s="46"/>
      <c r="N75" s="46"/>
      <c r="O75" s="46"/>
      <c r="P75" s="46"/>
      <c r="Q75" s="47">
        <v>1</v>
      </c>
      <c r="R75" s="46" t="s">
        <v>52</v>
      </c>
      <c r="S75" s="46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 hidden="1">
      <c r="A76" s="42" t="s">
        <v>59</v>
      </c>
      <c r="B76" s="95" t="s">
        <v>60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122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 hidden="1">
      <c r="A77" s="42" t="s">
        <v>59</v>
      </c>
      <c r="B77" s="42" t="s">
        <v>60</v>
      </c>
      <c r="C77" s="43">
        <f>(HearingAids7[[#This Row],[haMSRP]]*2)+HearingAids7[[#This Row],[chargerPrice]]</f>
        <v>9683</v>
      </c>
      <c r="D77" s="105">
        <v>4679</v>
      </c>
      <c r="E77" s="46" t="s">
        <v>10</v>
      </c>
      <c r="F77" s="44">
        <f>HearingAids7[[#This Row],[haMSRP]]-((HearingAids7[[#This Row],[ListPriceBinural]]-HearingAids7[[#This Row],[chargerPrice]])/2)</f>
        <v>666.5</v>
      </c>
      <c r="G77" s="44">
        <f>HearingAids7[[#This Row],[haMSRP]]-HearingAids7[[#This Row],[Discount Amount 1]]</f>
        <v>4012.5</v>
      </c>
      <c r="H77" s="105">
        <v>8350</v>
      </c>
      <c r="I77" s="55" t="s">
        <v>129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4012.5</v>
      </c>
      <c r="L77" s="105">
        <v>8350</v>
      </c>
      <c r="M77" s="46"/>
      <c r="N77" s="46"/>
      <c r="O77" s="46"/>
      <c r="P77" s="46"/>
      <c r="Q77" s="47">
        <v>1</v>
      </c>
      <c r="R77" s="46" t="s">
        <v>52</v>
      </c>
      <c r="S77" s="46">
        <v>325</v>
      </c>
      <c r="T77" s="6" t="s">
        <v>55</v>
      </c>
      <c r="U77" s="46">
        <v>0</v>
      </c>
      <c r="V77" s="54" t="s">
        <v>56</v>
      </c>
      <c r="W77" s="4"/>
      <c r="Y77" s="16"/>
      <c r="Z77" s="16"/>
      <c r="AA77" s="16"/>
      <c r="AB77"/>
      <c r="AC77"/>
      <c r="AD77"/>
      <c r="AE77"/>
    </row>
    <row r="78" spans="1:31" ht="15" hidden="1">
      <c r="A78" s="42" t="s">
        <v>59</v>
      </c>
      <c r="B78" s="42" t="s">
        <v>60</v>
      </c>
      <c r="C78" s="43">
        <f>(HearingAids7[[#This Row],[haMSRP]]*2)+HearingAids7[[#This Row],[chargerPrice]]</f>
        <v>9683</v>
      </c>
      <c r="D78" s="105">
        <v>4679</v>
      </c>
      <c r="E78" s="46" t="s">
        <v>10</v>
      </c>
      <c r="F78" s="44">
        <f>HearingAids7[[#This Row],[haMSRP]]-((HearingAids7[[#This Row],[ListPriceBinural]]-HearingAids7[[#This Row],[chargerPrice]])/2)</f>
        <v>666.5</v>
      </c>
      <c r="G78" s="44">
        <f>HearingAids7[[#This Row],[haMSRP]]-HearingAids7[[#This Row],[Discount Amount 1]]</f>
        <v>4012.5</v>
      </c>
      <c r="H78" s="105">
        <v>8350</v>
      </c>
      <c r="I78" s="77" t="s">
        <v>138</v>
      </c>
      <c r="J78" s="46">
        <f>(HearingAids7[[#This Row],[haMSRP]]-HearingAids7[[#This Row],[Discount Amount 1]])-(HearingAids7[[#This Row],[haNetPriceBinural]]-HearingAids7[[#This Row],[chargerPrice]])/2</f>
        <v>700</v>
      </c>
      <c r="K78" s="46">
        <f>HearingAids7[[#This Row],[HAListPrice]]-HearingAids7[[#This Row],[Discount Amount 2]]</f>
        <v>3312.5</v>
      </c>
      <c r="L78" s="106">
        <v>6950</v>
      </c>
      <c r="M78" s="46"/>
      <c r="N78" s="46"/>
      <c r="O78" s="46"/>
      <c r="P78" s="46"/>
      <c r="Q78" s="47">
        <v>1</v>
      </c>
      <c r="R78" s="47" t="s">
        <v>52</v>
      </c>
      <c r="S78" s="98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 hidden="1">
      <c r="A79" s="42" t="s">
        <v>59</v>
      </c>
      <c r="B79" s="42" t="s">
        <v>60</v>
      </c>
      <c r="C79" s="43">
        <f>(HearingAids7[[#This Row],[haMSRP]]*2)+HearingAids7[[#This Row],[chargerPrice]]</f>
        <v>9683</v>
      </c>
      <c r="D79" s="105">
        <v>4679</v>
      </c>
      <c r="E79" s="46" t="s">
        <v>10</v>
      </c>
      <c r="F79" s="44">
        <f>HearingAids7[[#This Row],[haMSRP]]-((HearingAids7[[#This Row],[ListPriceBinural]]-HearingAids7[[#This Row],[chargerPrice]])/2)</f>
        <v>666.5</v>
      </c>
      <c r="G79" s="44">
        <f>HearingAids7[[#This Row],[haMSRP]]-HearingAids7[[#This Row],[Discount Amount 1]]</f>
        <v>4012.5</v>
      </c>
      <c r="H79" s="105">
        <v>8350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4012.5</v>
      </c>
      <c r="L79" s="105">
        <v>8350</v>
      </c>
      <c r="M79" s="46"/>
      <c r="N79" s="46"/>
      <c r="O79" s="46"/>
      <c r="P79" s="46"/>
      <c r="Q79" s="47">
        <v>1</v>
      </c>
      <c r="R79" s="46" t="s">
        <v>52</v>
      </c>
      <c r="S79" s="46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 hidden="1">
      <c r="A80" s="42" t="s">
        <v>59</v>
      </c>
      <c r="B80" s="42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152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>
        <f>((HearingAids7[[#This Row],[haNetPriceBinural]]-HearingAids7[[#This Row],[chargerPrice]])/2)-HearingAids7[[#This Row],[haNetPriceBinural2]]</f>
        <v>2732.5</v>
      </c>
      <c r="O80" s="46">
        <f>HearingAids7[[#This Row],[haNetPrice]]-HearingAids7[[#This Row],[Discount Amount 3]]</f>
        <v>0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 hidden="1">
      <c r="A81" s="42" t="s">
        <v>59</v>
      </c>
      <c r="B81" s="95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153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>
        <f>((HearingAids7[[#This Row],[haNetPriceBinural]]-HearingAids7[[#This Row],[chargerPrice]])/2)-HearingAids7[[#This Row],[haNetPriceBinural2]]</f>
        <v>2732.5</v>
      </c>
      <c r="O81" s="46">
        <f>HearingAids7[[#This Row],[haNetPrice]]-HearingAids7[[#This Row],[Discount Amount 3]]</f>
        <v>0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 hidden="1">
      <c r="A82" s="42" t="s">
        <v>59</v>
      </c>
      <c r="B82" s="95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154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>
        <f>((HearingAids7[[#This Row],[haNetPriceBinural]]-HearingAids7[[#This Row],[chargerPrice]])/2)-HearingAids7[[#This Row],[haNetPriceBinural2]]</f>
        <v>2732.5</v>
      </c>
      <c r="O82" s="46">
        <f>HearingAids7[[#This Row],[haNetPrice]]-HearingAids7[[#This Row],[Discount Amount 3]]</f>
        <v>0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 hidden="1">
      <c r="A83" s="42" t="s">
        <v>59</v>
      </c>
      <c r="B83" s="42" t="s">
        <v>60</v>
      </c>
      <c r="C83" s="43">
        <f>(HearingAids7[[#This Row],[haMSRP]]*2)+HearingAids7[[#This Row],[chargerPrice]]</f>
        <v>9683</v>
      </c>
      <c r="D83" s="105">
        <v>4679</v>
      </c>
      <c r="E83" s="46" t="s">
        <v>10</v>
      </c>
      <c r="F83" s="44">
        <f>HearingAids7[[#This Row],[haMSRP]]-((HearingAids7[[#This Row],[ListPriceBinural]]-HearingAids7[[#This Row],[chargerPrice]])/2)</f>
        <v>666.5</v>
      </c>
      <c r="G83" s="44">
        <f>HearingAids7[[#This Row],[haMSRP]]-HearingAids7[[#This Row],[Discount Amount 1]]</f>
        <v>4012.5</v>
      </c>
      <c r="H83" s="105">
        <v>8350</v>
      </c>
      <c r="I83" s="55" t="s">
        <v>156</v>
      </c>
      <c r="J83" s="46">
        <f>(HearingAids7[[#This Row],[haMSRP]]-HearingAids7[[#This Row],[Discount Amount 1]])-(HearingAids7[[#This Row],[haNetPriceBinural]]-HearingAids7[[#This Row],[chargerPrice]])/2</f>
        <v>500</v>
      </c>
      <c r="K83" s="46">
        <f>HearingAids7[[#This Row],[HAListPrice]]-HearingAids7[[#This Row],[Discount Amount 2]]</f>
        <v>3512.5</v>
      </c>
      <c r="L83" s="105">
        <f>HearingAids7[[#This Row],[ListPriceBinural]]-1000</f>
        <v>7350</v>
      </c>
      <c r="M83" s="46"/>
      <c r="N83" s="46"/>
      <c r="O83" s="46"/>
      <c r="P83" s="46"/>
      <c r="Q83" s="47">
        <v>1</v>
      </c>
      <c r="R83" s="46" t="s">
        <v>52</v>
      </c>
      <c r="S83" s="46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 hidden="1">
      <c r="A84" s="42" t="s">
        <v>59</v>
      </c>
      <c r="B84" s="42" t="s">
        <v>60</v>
      </c>
      <c r="C84" s="43">
        <f>(HearingAids7[[#This Row],[haMSRP]]*2)+HearingAids7[[#This Row],[chargerPrice]]</f>
        <v>10403</v>
      </c>
      <c r="D84" s="105">
        <v>5039</v>
      </c>
      <c r="E84" s="46" t="s">
        <v>10</v>
      </c>
      <c r="F84" s="44">
        <f>HearingAids7[[#This Row],[haMSRP]]-((HearingAids7[[#This Row],[ListPriceBinural]]-HearingAids7[[#This Row],[chargerPrice]])/2)</f>
        <v>1026.5</v>
      </c>
      <c r="G84" s="44">
        <f>HearingAids7[[#This Row],[haMSRP]]-HearingAids7[[#This Row],[Discount Amount 1]]</f>
        <v>4012.5</v>
      </c>
      <c r="H84" s="105">
        <v>8350</v>
      </c>
      <c r="I84" s="77" t="s">
        <v>157</v>
      </c>
      <c r="J84" s="46">
        <f>(HearingAids7[[#This Row],[haMSRP]]-HearingAids7[[#This Row],[Discount Amount 1]])-(HearingAids7[[#This Row],[haNetPriceBinural]]-HearingAids7[[#This Row],[chargerPrice]])/2</f>
        <v>1280</v>
      </c>
      <c r="K84" s="46">
        <f>HearingAids7[[#This Row],[HAListPrice]]-HearingAids7[[#This Row],[Discount Amount 2]]</f>
        <v>2732.5</v>
      </c>
      <c r="L84" s="105">
        <v>5790</v>
      </c>
      <c r="M84" s="46"/>
      <c r="N84" s="46"/>
      <c r="O84" s="46">
        <f>HearingAids7[[#This Row],[haNetPrice]]-HearingAids7[[#This Row],[Discount Amount 3]]</f>
        <v>2732.5</v>
      </c>
      <c r="P84" s="46"/>
      <c r="Q84" s="47">
        <v>1</v>
      </c>
      <c r="R84" s="47" t="s">
        <v>52</v>
      </c>
      <c r="S84" s="47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 hidden="1">
      <c r="A85" s="42" t="s">
        <v>59</v>
      </c>
      <c r="B85" s="95" t="s">
        <v>60</v>
      </c>
      <c r="C85" s="43">
        <f>(HearingAids7[[#This Row],[haMSRP]]*2)+HearingAids7[[#This Row],[chargerPrice]]</f>
        <v>10403</v>
      </c>
      <c r="D85" s="105">
        <v>5039</v>
      </c>
      <c r="E85" s="46" t="s">
        <v>10</v>
      </c>
      <c r="F85" s="44">
        <f>HearingAids7[[#This Row],[haMSRP]]-((HearingAids7[[#This Row],[ListPriceBinural]]-HearingAids7[[#This Row],[chargerPrice]])/2)</f>
        <v>1026.5</v>
      </c>
      <c r="G85" s="44">
        <f>HearingAids7[[#This Row],[haMSRP]]-HearingAids7[[#This Row],[Discount Amount 1]]</f>
        <v>4012.5</v>
      </c>
      <c r="H85" s="105">
        <v>8350</v>
      </c>
      <c r="I85" s="77" t="s">
        <v>158</v>
      </c>
      <c r="J85" s="46">
        <f>(HearingAids7[[#This Row],[haMSRP]]-HearingAids7[[#This Row],[Discount Amount 1]])-(HearingAids7[[#This Row],[haNetPriceBinural]]-HearingAids7[[#This Row],[chargerPrice]])/2</f>
        <v>1280</v>
      </c>
      <c r="K85" s="46">
        <f>HearingAids7[[#This Row],[HAListPrice]]-HearingAids7[[#This Row],[Discount Amount 2]]</f>
        <v>2732.5</v>
      </c>
      <c r="L85" s="105">
        <v>5790</v>
      </c>
      <c r="M85" s="46"/>
      <c r="N85" s="46"/>
      <c r="O85" s="46">
        <f>HearingAids7[[#This Row],[haNetPrice]]-HearingAids7[[#This Row],[Discount Amount 3]]</f>
        <v>2732.5</v>
      </c>
      <c r="P85" s="46"/>
      <c r="Q85" s="47">
        <v>1</v>
      </c>
      <c r="R85" s="47" t="s">
        <v>52</v>
      </c>
      <c r="S85" s="47">
        <v>325</v>
      </c>
      <c r="T85" s="49" t="s">
        <v>55</v>
      </c>
      <c r="U85" s="49">
        <v>0</v>
      </c>
      <c r="V85" s="49" t="s">
        <v>56</v>
      </c>
      <c r="W85" s="4"/>
      <c r="Y85" s="16"/>
      <c r="Z85" s="16"/>
      <c r="AA85" s="16"/>
      <c r="AB85"/>
      <c r="AC85"/>
      <c r="AD85"/>
      <c r="AE85"/>
    </row>
    <row r="86" spans="1:31" ht="15" hidden="1">
      <c r="A86" s="42" t="s">
        <v>59</v>
      </c>
      <c r="B86" s="42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55" t="s">
        <v>159</v>
      </c>
      <c r="J86" s="46">
        <f>((HearingAids7[[#This Row],[haMSRP]]-HearingAids7[[#This Row],[Discount Amount 1]])-(HearingAids7[[#This Row],[haNetPriceBinural]]-HearingAids7[[#This Row],[chargerPrice]])/2)</f>
        <v>875</v>
      </c>
      <c r="K86" s="46">
        <f>HearingAids7[[#This Row],[HAListPrice]]-HearingAids7[[#This Row],[Discount Amount 2]]</f>
        <v>3137.5</v>
      </c>
      <c r="L86" s="105">
        <v>6600</v>
      </c>
      <c r="M86" s="55"/>
      <c r="N86" s="46"/>
      <c r="O86" s="107"/>
      <c r="P86" s="46"/>
      <c r="Q86" s="47">
        <v>1</v>
      </c>
      <c r="R86" s="46" t="s">
        <v>52</v>
      </c>
      <c r="S86" s="46">
        <v>325</v>
      </c>
      <c r="T86" s="101" t="s">
        <v>55</v>
      </c>
      <c r="U86" s="21">
        <v>0</v>
      </c>
      <c r="V86" s="103" t="s">
        <v>56</v>
      </c>
      <c r="W86" s="4"/>
      <c r="Y86" s="16"/>
      <c r="Z86" s="16"/>
      <c r="AA86" s="16"/>
      <c r="AB86"/>
      <c r="AC86"/>
      <c r="AD86"/>
      <c r="AE86"/>
    </row>
    <row r="87" spans="1:31" ht="15" hidden="1">
      <c r="A87" s="42" t="s">
        <v>59</v>
      </c>
      <c r="B87" s="42" t="s">
        <v>60</v>
      </c>
      <c r="C87" s="43">
        <f>(HearingAids7[[#This Row],[haMSRP]]*2)+HearingAids7[[#This Row],[chargerPrice]]</f>
        <v>10403</v>
      </c>
      <c r="D87" s="105">
        <v>5039</v>
      </c>
      <c r="E87" s="46" t="s">
        <v>10</v>
      </c>
      <c r="F87" s="44">
        <f>HearingAids7[[#This Row],[haMSRP]]-((HearingAids7[[#This Row],[ListPriceBinural]]-HearingAids7[[#This Row],[chargerPrice]])/2)</f>
        <v>1026.5</v>
      </c>
      <c r="G87" s="44">
        <f>HearingAids7[[#This Row],[haMSRP]]-HearingAids7[[#This Row],[Discount Amount 1]]</f>
        <v>4012.5</v>
      </c>
      <c r="H87" s="105">
        <v>8350</v>
      </c>
      <c r="I87" s="77" t="s">
        <v>161</v>
      </c>
      <c r="J87" s="46">
        <f>(HearingAids7[[#This Row],[haMSRP]]-HearingAids7[[#This Row],[Discount Amount 1]])-(HearingAids7[[#This Row],[haNetPriceBinural]]-HearingAids7[[#This Row],[chargerPrice]])/2</f>
        <v>1280</v>
      </c>
      <c r="K87" s="46">
        <f>HearingAids7[[#This Row],[HAListPrice]]-HearingAids7[[#This Row],[Discount Amount 2]]</f>
        <v>2732.5</v>
      </c>
      <c r="L87" s="105">
        <v>5790</v>
      </c>
      <c r="M87" s="46"/>
      <c r="N87" s="46"/>
      <c r="O87" s="46">
        <f>HearingAids7[[#This Row],[haNetPrice]]-HearingAids7[[#This Row],[Discount Amount 3]]</f>
        <v>2732.5</v>
      </c>
      <c r="P87" s="46"/>
      <c r="Q87" s="47">
        <v>1</v>
      </c>
      <c r="R87" s="47" t="s">
        <v>52</v>
      </c>
      <c r="S87" s="47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 hidden="1">
      <c r="A88" s="42" t="s">
        <v>59</v>
      </c>
      <c r="B88" s="95" t="s">
        <v>60</v>
      </c>
      <c r="C88" s="43">
        <f>(HearingAids7[[#This Row],[haMSRP]]*2)+HearingAids7[[#This Row],[chargerPrice]]</f>
        <v>10403</v>
      </c>
      <c r="D88" s="105">
        <v>5039</v>
      </c>
      <c r="E88" s="46" t="s">
        <v>10</v>
      </c>
      <c r="F88" s="44">
        <f>HearingAids7[[#This Row],[haMSRP]]-((HearingAids7[[#This Row],[ListPriceBinural]]-HearingAids7[[#This Row],[chargerPrice]])/2)</f>
        <v>1026.5</v>
      </c>
      <c r="G88" s="44">
        <f>HearingAids7[[#This Row],[haMSRP]]-HearingAids7[[#This Row],[Discount Amount 1]]</f>
        <v>4012.5</v>
      </c>
      <c r="H88" s="105">
        <v>8350</v>
      </c>
      <c r="I88" s="77" t="s">
        <v>162</v>
      </c>
      <c r="J88" s="46">
        <f>(HearingAids7[[#This Row],[haMSRP]]-HearingAids7[[#This Row],[Discount Amount 1]])-(HearingAids7[[#This Row],[haNetPriceBinural]]-HearingAids7[[#This Row],[chargerPrice]])/2</f>
        <v>1280</v>
      </c>
      <c r="K88" s="46">
        <f>HearingAids7[[#This Row],[HAListPrice]]-HearingAids7[[#This Row],[Discount Amount 2]]</f>
        <v>2732.5</v>
      </c>
      <c r="L88" s="105">
        <v>5790</v>
      </c>
      <c r="M88" s="46"/>
      <c r="N88" s="46"/>
      <c r="O88" s="46">
        <f>HearingAids7[[#This Row],[haNetPrice]]-HearingAids7[[#This Row],[Discount Amount 3]]</f>
        <v>2732.5</v>
      </c>
      <c r="P88" s="46"/>
      <c r="Q88" s="47">
        <v>1</v>
      </c>
      <c r="R88" s="47" t="s">
        <v>52</v>
      </c>
      <c r="S88" s="47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 hidden="1">
      <c r="A89" s="42" t="s">
        <v>59</v>
      </c>
      <c r="B89" s="42" t="s">
        <v>60</v>
      </c>
      <c r="C89" s="43">
        <f>(HearingAids7[[#This Row],[haMSRP]]*2)+HearingAids7[[#This Row],[chargerPrice]]</f>
        <v>10403</v>
      </c>
      <c r="D89" s="105">
        <v>5039</v>
      </c>
      <c r="E89" s="46" t="s">
        <v>10</v>
      </c>
      <c r="F89" s="44">
        <f>HearingAids7[[#This Row],[haMSRP]]-((HearingAids7[[#This Row],[ListPriceBinural]]-HearingAids7[[#This Row],[chargerPrice]])/2)</f>
        <v>1026.5</v>
      </c>
      <c r="G89" s="44">
        <f>HearingAids7[[#This Row],[haMSRP]]-HearingAids7[[#This Row],[Discount Amount 1]]</f>
        <v>4012.5</v>
      </c>
      <c r="H89" s="105">
        <v>8350</v>
      </c>
      <c r="I89" s="77" t="s">
        <v>164</v>
      </c>
      <c r="J89" s="46">
        <f>(HearingAids7[[#This Row],[haMSRP]]-HearingAids7[[#This Row],[Discount Amount 1]])-(HearingAids7[[#This Row],[haNetPriceBinural]]-HearingAids7[[#This Row],[chargerPrice]])/2</f>
        <v>1280</v>
      </c>
      <c r="K89" s="46">
        <f>HearingAids7[[#This Row],[HAListPrice]]-HearingAids7[[#This Row],[Discount Amount 2]]</f>
        <v>2732.5</v>
      </c>
      <c r="L89" s="105">
        <v>5790</v>
      </c>
      <c r="M89" s="46"/>
      <c r="N89" s="46"/>
      <c r="O89" s="46">
        <f>HearingAids7[[#This Row],[haNetPrice]]-HearingAids7[[#This Row],[Discount Amount 3]]</f>
        <v>2732.5</v>
      </c>
      <c r="P89" s="46"/>
      <c r="Q89" s="47">
        <v>1</v>
      </c>
      <c r="R89" s="47" t="s">
        <v>52</v>
      </c>
      <c r="S89" s="47">
        <v>325</v>
      </c>
      <c r="T89" s="49" t="s">
        <v>55</v>
      </c>
      <c r="U89" s="49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5" hidden="1">
      <c r="A90" s="42" t="s">
        <v>638</v>
      </c>
      <c r="B90" s="95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 hidden="1">
      <c r="A91" s="42" t="s">
        <v>640</v>
      </c>
      <c r="B91" s="95" t="s">
        <v>641</v>
      </c>
      <c r="C91" s="43">
        <f>(HearingAids7[[#This Row],[haMSRP]]*2)+HearingAids7[[#This Row],[chargerPrice]]</f>
        <v>6623</v>
      </c>
      <c r="D91" s="105">
        <v>3149</v>
      </c>
      <c r="E91" s="46" t="s">
        <v>10</v>
      </c>
      <c r="F91" s="44">
        <f>HearingAids7[[#This Row],[haMSRP]]-((HearingAids7[[#This Row],[ListPriceBinural]]-HearingAids7[[#This Row],[chargerPrice]])/2)</f>
        <v>636.5</v>
      </c>
      <c r="G91" s="44">
        <f>HearingAids7[[#This Row],[haMSRP]]-HearingAids7[[#This Row],[Discount Amount 1]]</f>
        <v>2512.5</v>
      </c>
      <c r="H91" s="105">
        <v>5350</v>
      </c>
      <c r="I91" s="77" t="s">
        <v>45</v>
      </c>
      <c r="J91" s="46">
        <v>0</v>
      </c>
      <c r="K91" s="46">
        <f>HearingAids7[[#This Row],[HAListPrice]]-HearingAids7[[#This Row],[Discount Amount 2]]</f>
        <v>2512.5</v>
      </c>
      <c r="L91" s="106">
        <f>HearingAids7[[#This Row],[ListPriceBinural]]</f>
        <v>5350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 hidden="1">
      <c r="A92" s="42" t="s">
        <v>642</v>
      </c>
      <c r="B92" s="95" t="s">
        <v>643</v>
      </c>
      <c r="C92" s="43">
        <f>(HearingAids7[[#This Row],[haMSRP]]*2)+HearingAids7[[#This Row],[chargerPrice]]</f>
        <v>8003</v>
      </c>
      <c r="D92" s="105">
        <v>3839</v>
      </c>
      <c r="E92" s="46" t="s">
        <v>10</v>
      </c>
      <c r="F92" s="44">
        <f>HearingAids7[[#This Row],[haMSRP]]-((HearingAids7[[#This Row],[ListPriceBinural]]-HearingAids7[[#This Row],[chargerPrice]])/2)</f>
        <v>276.5</v>
      </c>
      <c r="G92" s="44">
        <f>HearingAids7[[#This Row],[haMSRP]]-HearingAids7[[#This Row],[Discount Amount 1]]</f>
        <v>3562.5</v>
      </c>
      <c r="H92" s="105">
        <v>7450</v>
      </c>
      <c r="I92" s="77" t="s">
        <v>45</v>
      </c>
      <c r="J92" s="46">
        <v>0</v>
      </c>
      <c r="K92" s="46">
        <f>HearingAids7[[#This Row],[HAListPrice]]-HearingAids7[[#This Row],[Discount Amount 2]]</f>
        <v>3562.5</v>
      </c>
      <c r="L92" s="106">
        <f>HearingAids7[[#This Row],[ListPriceBinural]]</f>
        <v>7450</v>
      </c>
      <c r="M92" s="46"/>
      <c r="N92" s="46"/>
      <c r="O92" s="46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>
      <c r="A93" s="42" t="s">
        <v>644</v>
      </c>
      <c r="B93" s="95" t="s">
        <v>645</v>
      </c>
      <c r="C93" s="43">
        <f>(HearingAids7[[#This Row],[haMSRP]]*2)+HearingAids7[[#This Row],[chargerPrice]]</f>
        <v>10403</v>
      </c>
      <c r="D93" s="105">
        <v>5039</v>
      </c>
      <c r="E93" s="46" t="s">
        <v>10</v>
      </c>
      <c r="F93" s="44">
        <f>HearingAids7[[#This Row],[haMSRP]]-((HearingAids7[[#This Row],[ListPriceBinural]]-HearingAids7[[#This Row],[chargerPrice]])/2)</f>
        <v>927</v>
      </c>
      <c r="G93" s="44">
        <f>HearingAids7[[#This Row],[haMSRP]]-HearingAids7[[#This Row],[Discount Amount 1]]</f>
        <v>4112</v>
      </c>
      <c r="H93" s="105">
        <v>8549</v>
      </c>
      <c r="I93" s="77" t="s">
        <v>45</v>
      </c>
      <c r="J93" s="46">
        <v>0</v>
      </c>
      <c r="K93" s="46">
        <f>HearingAids7[[#This Row],[HAListPrice]]-HearingAids7[[#This Row],[Discount Amount 2]]</f>
        <v>4112</v>
      </c>
      <c r="L93" s="106">
        <f>HearingAids7[[#This Row],[ListPriceBinural]]</f>
        <v>8549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 hidden="1">
      <c r="A94" s="42" t="s">
        <v>638</v>
      </c>
      <c r="B94" s="95" t="s">
        <v>639</v>
      </c>
      <c r="C94" s="43">
        <f>(HearingAids7[[#This Row],[haMSRP]]*2)+HearingAids7[[#This Row],[chargerPrice]]</f>
        <v>12203</v>
      </c>
      <c r="D94" s="105">
        <v>5939</v>
      </c>
      <c r="E94" s="46" t="s">
        <v>10</v>
      </c>
      <c r="F94" s="44">
        <f>HearingAids7[[#This Row],[haMSRP]]-((HearingAids7[[#This Row],[ListPriceBinural]]-HearingAids7[[#This Row],[chargerPrice]])/2)</f>
        <v>1276.5</v>
      </c>
      <c r="G94" s="44">
        <f>HearingAids7[[#This Row],[haMSRP]]-HearingAids7[[#This Row],[Discount Amount 1]]</f>
        <v>4662.5</v>
      </c>
      <c r="H94" s="105">
        <v>9650</v>
      </c>
      <c r="I94" s="77" t="s">
        <v>156</v>
      </c>
      <c r="J94" s="46">
        <v>500</v>
      </c>
      <c r="K94" s="46">
        <f>HearingAids7[[#This Row],[HAListPrice]]-HearingAids7[[#This Row],[Discount Amount 2]]</f>
        <v>4162.5</v>
      </c>
      <c r="L94" s="106">
        <f>HearingAids7[[#This Row],[ListPriceBinural]]-1000</f>
        <v>8650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 hidden="1">
      <c r="A95" s="42" t="s">
        <v>642</v>
      </c>
      <c r="B95" s="95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>
      <c r="A96" s="42" t="s">
        <v>644</v>
      </c>
      <c r="B96" s="95" t="s">
        <v>645</v>
      </c>
      <c r="C96" s="43">
        <f>(HearingAids7[[#This Row],[haMSRP]]*2)+HearingAids7[[#This Row],[chargerPrice]]</f>
        <v>10403</v>
      </c>
      <c r="D96" s="105">
        <v>5039</v>
      </c>
      <c r="E96" s="46" t="s">
        <v>10</v>
      </c>
      <c r="F96" s="44">
        <f>HearingAids7[[#This Row],[haMSRP]]-((HearingAids7[[#This Row],[ListPriceBinural]]-HearingAids7[[#This Row],[chargerPrice]])/2)</f>
        <v>926.5</v>
      </c>
      <c r="G96" s="44">
        <f>HearingAids7[[#This Row],[haMSRP]]-HearingAids7[[#This Row],[Discount Amount 1]]</f>
        <v>4112.5</v>
      </c>
      <c r="H96" s="105">
        <v>8550</v>
      </c>
      <c r="I96" s="77" t="s">
        <v>156</v>
      </c>
      <c r="J96" s="46">
        <v>500</v>
      </c>
      <c r="K96" s="46">
        <f>HearingAids7[[#This Row],[HAListPrice]]-HearingAids7[[#This Row],[Discount Amount 2]]</f>
        <v>3612.5</v>
      </c>
      <c r="L96" s="106">
        <f>HearingAids7[[#This Row],[ListPriceBinural]]-1000</f>
        <v>7550</v>
      </c>
      <c r="M96" s="46"/>
      <c r="N96" s="46"/>
      <c r="O96" s="46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 hidden="1">
      <c r="A97" s="42" t="s">
        <v>638</v>
      </c>
      <c r="B97" s="42" t="s">
        <v>639</v>
      </c>
      <c r="C97" s="43">
        <f>(HearingAids7[[#This Row],[haMSRP]]*2)+HearingAids7[[#This Row],[chargerPrice]]</f>
        <v>12203</v>
      </c>
      <c r="D97" s="105">
        <v>5939</v>
      </c>
      <c r="E97" s="46" t="s">
        <v>10</v>
      </c>
      <c r="F97" s="44">
        <f>HearingAids7[[#This Row],[haMSRP]]-((HearingAids7[[#This Row],[ListPriceBinural]]-HearingAids7[[#This Row],[chargerPrice]])/2)</f>
        <v>1276.5</v>
      </c>
      <c r="G97" s="44">
        <f>HearingAids7[[#This Row],[haMSRP]]-HearingAids7[[#This Row],[Discount Amount 1]]</f>
        <v>4662.5</v>
      </c>
      <c r="H97" s="105">
        <v>9650</v>
      </c>
      <c r="I97" s="77" t="s">
        <v>159</v>
      </c>
      <c r="J97" s="46">
        <v>925</v>
      </c>
      <c r="K97" s="46">
        <f>HearingAids7[[#This Row],[HAListPrice]]-HearingAids7[[#This Row],[Discount Amount 2]]</f>
        <v>3737.5</v>
      </c>
      <c r="L97" s="106">
        <v>8200</v>
      </c>
      <c r="M97" s="77"/>
      <c r="N97" s="46"/>
      <c r="O97" s="77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 hidden="1">
      <c r="A98" s="42" t="s">
        <v>642</v>
      </c>
      <c r="B98" s="42" t="s">
        <v>643</v>
      </c>
      <c r="C98" s="43">
        <f>(HearingAids7[[#This Row],[haMSRP]]*2)+HearingAids7[[#This Row],[chargerPrice]]</f>
        <v>8003</v>
      </c>
      <c r="D98" s="105">
        <v>3839</v>
      </c>
      <c r="E98" s="46" t="s">
        <v>10</v>
      </c>
      <c r="F98" s="44">
        <f>HearingAids7[[#This Row],[haMSRP]]-((HearingAids7[[#This Row],[ListPriceBinural]]-HearingAids7[[#This Row],[chargerPrice]])/2)</f>
        <v>276.5</v>
      </c>
      <c r="G98" s="44">
        <f>HearingAids7[[#This Row],[haMSRP]]-HearingAids7[[#This Row],[Discount Amount 1]]</f>
        <v>3562.5</v>
      </c>
      <c r="H98" s="105">
        <v>7450</v>
      </c>
      <c r="I98" s="77" t="s">
        <v>159</v>
      </c>
      <c r="J98" s="46">
        <v>525</v>
      </c>
      <c r="K98" s="46">
        <f>HearingAids7[[#This Row],[HAListPrice]]-HearingAids7[[#This Row],[Discount Amount 2]]</f>
        <v>3037.5</v>
      </c>
      <c r="L98" s="106">
        <v>6400</v>
      </c>
      <c r="M98" s="77"/>
      <c r="N98" s="46"/>
      <c r="O98" s="77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>
      <c r="A99" s="42" t="s">
        <v>644</v>
      </c>
      <c r="B99" s="42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625</v>
      </c>
      <c r="K99" s="46">
        <f>HearingAids7[[#This Row],[HAListPrice]]-HearingAids7[[#This Row],[Discount Amount 2]]</f>
        <v>3487.5</v>
      </c>
      <c r="L99" s="106">
        <v>7300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 hidden="1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 hidden="1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 hidden="1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 hidden="1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 hidden="1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 hidden="1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 hidden="1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 hidden="1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 hidden="1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 hidden="1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 hidden="1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 hidden="1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 hidden="1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 hidden="1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 hidden="1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 hidden="1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 hidden="1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 hidden="1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 hidden="1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 hidden="1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 hidden="1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 hidden="1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 hidden="1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 hidden="1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 hidden="1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 hidden="1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 hidden="1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 hidden="1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 hidden="1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 hidden="1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 hidden="1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 hidden="1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 hidden="1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 hidden="1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 hidden="1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 hidden="1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 hidden="1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 hidden="1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 hidden="1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 hidden="1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 hidden="1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 hidden="1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 hidden="1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 hidden="1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 hidden="1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 hidden="1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 hidden="1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08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 hidden="1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 hidden="1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 hidden="1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 hidden="1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 hidden="1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 hidden="1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 hidden="1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 hidden="1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 hidden="1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 hidden="1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 hidden="1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 hidden="1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 hidden="1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 hidden="1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 hidden="1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 hidden="1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 hidden="1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 hidden="1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 hidden="1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 hidden="1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 hidden="1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 hidden="1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 hidden="1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 hidden="1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 hidden="1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 hidden="1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 hidden="1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 hidden="1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 hidden="1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 hidden="1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 hidden="1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 hidden="1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 hidden="1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 hidden="1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 hidden="1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 hidden="1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 hidden="1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 hidden="1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 hidden="1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 hidden="1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 hidden="1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 hidden="1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 hidden="1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 hidden="1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 hidden="1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 hidden="1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 hidden="1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 hidden="1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 hidden="1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 hidden="1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 hidden="1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 hidden="1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 hidden="1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2026-09-30T20:22:18Z</dcterms:modified>
  <cp:category/>
  <cp:contentStatus/>
</cp:coreProperties>
</file>