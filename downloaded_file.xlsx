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180" documentId="8_{964C585B-190F-46EC-9553-F8D486DF59FA}" xr6:coauthVersionLast="47" xr6:coauthVersionMax="47" xr10:uidLastSave="{EAFA8165-B8F0-43C3-9B88-7358519A216B}"/>
  <bookViews>
    <workbookView xWindow="-120" yWindow="-120" windowWidth="29040" windowHeight="15720" activeTab="3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8" i="1" l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J47" i="1" l="1"/>
  <c r="J48" i="1"/>
  <c r="G46" i="1"/>
  <c r="K46" i="1" s="1"/>
  <c r="K48" i="1"/>
  <c r="K47" i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25" i="1" l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37" i="1" l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<sst xmlns="http://schemas.openxmlformats.org/spreadsheetml/2006/main" count="2839" uniqueCount="629">
  <si>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</si>
  <si>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</si>
  <si>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</si>
  <si>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</si>
  <si>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</si>
  <si>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</si>
  <si>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</si>
  <si>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</si>
  <si>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</si>
  <si>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</si>
  <si>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</si>
  <si>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</si>
  <si>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</si>
  <si>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</si>
  <si>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</si>
  <si>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</si>
  <si>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</si>
  <si>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</si>
  <si>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</si>
  <si>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</si>
  <si>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</si>
  <si>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</si>
  <si>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</si>
  <si>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</si>
  <si>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</si>
  <si>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</si>
  <si>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</si>
  <si>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</si>
  <si>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</si>
  <si>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</si>
  <si>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</si>
  <si>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</si>
  <si>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</si>
  <si>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</si>
  <si>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</si>
  <si>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</si>
  <si>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</si>
  <si>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</si>
  <si>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</si>
  <si>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</si>
  <si>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</si>
  <si>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</si>
  <si>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</si>
  <si>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</si>
  <si>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</si>
  <si>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</si>
  <si>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</si>
  <si>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</si>
  <si>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</si>
  <si>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</si>
  <si>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</si>
  <si>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</si>
  <si>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</si>
  <si>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</si>
  <si>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</si>
  <si>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</si>
  <si>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</si>
  <si>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</si>
  <si>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</si>
  <si>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</si>
  <si>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</si>
  <si>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</si>
  <si>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</si>
  <si>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</si>
  <si>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</si>
  <si>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</si>
  <si>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</si>
  <si>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</si>
  <si>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</si>
  <si>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</si>
  <si>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</si>
  <si>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</si>
  <si>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</si>
  <si>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</si>
  <si>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</si>
  <si>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</si>
  <si>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</si>
  <si>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</si>
  <si>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</si>
  <si>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</si>
  <si>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</si>
  <si>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</si>
  <si>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</si>
  <si>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</si>
  <si>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</si>
  <si>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</si>
  <si>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</si>
  <si>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</si>
  <si>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</si>
  <si>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</si>
  <si>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</si>
  <si>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</si>
  <si>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</si>
  <si>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</si>
  <si>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</si>
  <si>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</si>
  <si>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</si>
  <si>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</si>
  <si>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</si>
  <si>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</si>
  <si>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</si>
  <si>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</si>
  <si>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</si>
  <si>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</si>
  <si>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</si>
  <si>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</si>
  <si>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</si>
  <si>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</si>
  <si>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</si>
  <si>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</si>
  <si>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</si>
  <si>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</si>
  <si>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</si>
  <si>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</si>
  <si>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</si>
  <si>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</si>
  <si>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</si>
  <si>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</si>
  <si>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</si>
  <si>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</si>
  <si>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</si>
  <si>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</si>
  <si>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</si>
  <si>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</si>
  <si>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</si>
  <si>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</si>
  <si>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</si>
  <si>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</si>
  <si>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</si>
  <si>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</si>
  <si>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</si>
  <si>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</si>
  <si>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</si>
  <si>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</si>
  <si>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</si>
  <si>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</si>
  <si>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</si>
  <si>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</si>
  <si>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</si>
  <si>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</si>
  <si>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</si>
  <si>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</si>
  <si>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</si>
  <si>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</si>
  <si>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</si>
  <si>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</si>
  <si>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</si>
  <si>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</si>
  <si>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</si>
  <si>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</si>
  <si>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</si>
  <si>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</si>
  <si>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</si>
  <si>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</si>
  <si>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</si>
  <si>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</si>
  <si>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</si>
  <si>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</si>
  <si>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</si>
  <si>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</si>
  <si>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</si>
  <si>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</si>
  <si>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</si>
  <si>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</si>
  <si>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</si>
  <si>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</si>
  <si>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</si>
  <si>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</si>
  <si>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</si>
  <si>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</si>
  <si>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</si>
  <si>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</si>
  <si>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</si>
  <si>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</si>
  <si>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</si>
  <si>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</si>
  <si>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</si>
  <si>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</si>
  <si>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</si>
  <si>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</si>
  <si>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</si>
  <si>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</si>
  <si>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</si>
  <si>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</si>
  <si>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</si>
  <si>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</si>
  <si>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</si>
  <si>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</si>
  <si>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</si>
  <si>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</si>
  <si>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</si>
  <si>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</si>
  <si>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</si>
  <si>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</si>
  <si>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</si>
  <si>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</si>
  <si>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</si>
  <si>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</si>
  <si>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</si>
  <si>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</si>
  <si>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</si>
  <si>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</si>
  <si>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</si>
  <si>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</si>
  <si>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</si>
  <si>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</si>
  <si>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</si>
  <si>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</si>
  <si>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</si>
  <si>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</si>
  <si>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</si>
  <si>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</si>
  <si>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</si>
  <si>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</si>
  <si>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</si>
  <si>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</si>
  <si>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</si>
  <si>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</si>
  <si>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</si>
  <si>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</si>
  <si>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</si>
  <si>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</si>
  <si>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</si>
  <si>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</si>
  <si>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</si>
  <si>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</si>
  <si>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</si>
  <si>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</si>
  <si>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</si>
  <si>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</si>
  <si>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</si>
  <si>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</si>
  <si>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</si>
  <si>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</si>
  <si>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</si>
  <si>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</si>
  <si>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</si>
  <si>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</si>
  <si>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</si>
  <si>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</si>
  <si>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</si>
  <si>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</si>
  <si>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</si>
  <si>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</si>
  <si>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</si>
  <si>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</si>
  <si>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</si>
  <si>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</si>
  <si>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</si>
  <si>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</si>
  <si>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</si>
  <si>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</si>
  <si>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</si>
  <si>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</si>
  <si>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</si>
  <si>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</si>
  <si>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</si>
  <si>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</si>
  <si>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</si>
  <si>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</si>
  <si>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</si>
  <si>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</si>
  <si>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</si>
  <si>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</si>
  <si>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</si>
  <si>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</si>
  <si>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</si>
  <si>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</si>
  <si>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</si>
  <si>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</si>
  <si>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</si>
  <si>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</si>
  <si>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</si>
  <si>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</si>
  <si>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</si>
  <si>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</si>
  <si>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</si>
  <si>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</si>
  <si>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</si>
  <si>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</si>
  <si>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</si>
  <si>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</si>
  <si>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</si>
  <si>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</si>
  <si>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</si>
  <si>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</si>
  <si>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</si>
  <si>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</si>
  <si>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</si>
  <si>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</si>
  <si>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</si>
  <si>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</si>
  <si>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</si>
  <si>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</si>
  <si>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</si>
  <si>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</si>
  <si>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</si>
  <si>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</si>
  <si>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</si>
  <si>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</si>
  <si>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</si>
  <si>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</si>
  <si>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</si>
  <si>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</si>
  <si>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</si>
  <si>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</si>
  <si>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</si>
  <si>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</si>
  <si>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</si>
  <si>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</si>
  <si>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</si>
  <si>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</si>
  <si>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</si>
  <si>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</si>
  <si>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</si>
  <si>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</si>
  <si>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</si>
  <si>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</si>
  <si>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</si>
  <si>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</si>
  <si>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</si>
  <si>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</si>
  <si>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</si>
  <si>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</si>
  <si>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</si>
  <si>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</si>
  <si>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</si>
  <si>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</si>
  <si>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</si>
  <si>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</si>
  <si>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</si>
  <si>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</si>
  <si>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</si>
  <si>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</si>
  <si>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</si>
  <si>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</si>
  <si>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</si>
  <si>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</si>
  <si>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</si>
  <si>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</si>
  <si>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</si>
  <si>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</si>
  <si>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</si>
  <si>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</si>
  <si>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</si>
  <si>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</si>
  <si>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</si>
  <si>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</si>
  <si>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</si>
  <si>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</si>
  <si>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</si>
  <si>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</si>
  <si>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</si>
  <si>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</si>
  <si>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</si>
  <si>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</si>
  <si>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</si>
  <si>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</si>
  <si>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</si>
  <si>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</si>
  <si>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</si>
  <si>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</si>
  <si>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</si>
  <si>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</si>
  <si>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</si>
  <si>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</si>
  <si>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</si>
  <si>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</si>
  <si>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</si>
  <si>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</si>
  <si>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</si>
  <si>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</si>
  <si>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</si>
  <si>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</si>
  <si>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</si>
  <si>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</si>
  <si>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</si>
  <si>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</si>
  <si>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</si>
  <si>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</si>
  <si>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</si>
  <si>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</si>
  <si>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</si>
  <si>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</si>
  <si>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</si>
  <si>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</si>
  <si>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</si>
  <si>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</si>
  <si>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</si>
  <si>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</si>
  <si>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</si>
  <si>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</si>
  <si>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</si>
  <si>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</si>
  <si>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</si>
  <si>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</si>
  <si>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</si>
  <si>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</si>
  <si>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</si>
  <si>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</si>
  <si>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</si>
  <si>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</si>
  <si>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</si>
  <si>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</si>
  <si>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</si>
  <si>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</si>
  <si>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</si>
  <si>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</si>
  <si>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</si>
  <si>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</si>
  <si>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</si>
  <si>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</si>
  <si>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</si>
  <si>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</si>
  <si>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</si>
  <si>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</si>
  <si>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</si>
  <si>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</si>
  <si>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</si>
  <si>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</si>
  <si>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</si>
  <si>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</si>
  <si>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</si>
  <si>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</si>
  <si>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</si>
  <si>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</si>
  <si>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</si>
  <si>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</si>
  <si>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</si>
  <si>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</si>
  <si>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</si>
  <si>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</si>
  <si>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</si>
  <si>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</si>
  <si>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</si>
  <si>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</si>
  <si>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</si>
  <si>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</si>
  <si>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</si>
  <si>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</si>
  <si>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</si>
  <si>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</si>
  <si>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</si>
  <si>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</si>
  <si>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</si>
  <si>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</si>
  <si>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</si>
  <si>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</si>
  <si>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</si>
  <si>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</si>
  <si>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</si>
  <si>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</si>
  <si>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</si>
  <si>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</si>
  <si>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</si>
  <si>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</si>
  <si>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</si>
  <si>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</si>
  <si>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</si>
  <si>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</si>
  <si>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</si>
  <si>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</si>
  <si>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</si>
  <si>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</si>
  <si>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</si>
  <si>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</si>
  <si>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</si>
  <si>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</si>
  <si>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</si>
  <si>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</si>
  <si>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</si>
  <si>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</si>
  <si>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</si>
  <si>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</si>
  <si>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</si>
  <si>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</si>
  <si>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</si>
  <si>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</si>
  <si>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</si>
  <si>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</si>
  <si>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</si>
  <si>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</si>
  <si>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</si>
  <si>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</si>
  <si>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</si>
  <si>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</si>
  <si>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</si>
  <si>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</si>
  <si>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</si>
  <si>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</si>
  <si>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</si>
  <si>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</si>
  <si>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</si>
  <si>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</si>
  <si>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</si>
  <si>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</si>
  <si>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</si>
  <si>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</si>
  <si>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</si>
  <si>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</si>
  <si>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</si>
  <si>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</si>
  <si>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</si>
  <si>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</si>
  <si>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</si>
  <si>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</si>
  <si>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</si>
  <si>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</si>
  <si>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</si>
  <si>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</si>
  <si>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</si>
  <si>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</si>
  <si>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</si>
  <si>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</si>
  <si>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</si>
  <si>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</si>
  <si>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</si>
  <si>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</si>
  <si>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</si>
  <si>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</si>
  <si>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</si>
  <si>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</si>
  <si>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</si>
  <si>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</si>
  <si>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</si>
  <si>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</si>
  <si>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</si>
  <si>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</si>
  <si>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</si>
  <si>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</si>
  <si>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</si>
  <si>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</si>
  <si>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</si>
  <si>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</si>
  <si>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</si>
  <si>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</si>
  <si>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</si>
  <si>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</si>
  <si>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</si>
  <si>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</si>
  <si>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</si>
  <si>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</si>
  <si>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</si>
  <si>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</si>
  <si>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</si>
  <si>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</si>
  <si>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</si>
  <si>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</si>
  <si>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</si>
  <si>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</si>
  <si>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</si>
  <si>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</si>
  <si>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</si>
  <si>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</si>
  <si>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</si>
  <si>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</si>
  <si>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</si>
  <si>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</si>
  <si>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</si>
  <si>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</si>
  <si>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</si>
  <si>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</si>
  <si>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</si>
  <si>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</si>
  <si>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</si>
  <si>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</si>
  <si>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</si>
  <si>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</si>
  <si>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</si>
  <si>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</si>
  <si>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</si>
  <si>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</si>
  <si>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</si>
  <si>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</si>
  <si>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</si>
  <si>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</si>
  <si>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</si>
  <si>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</si>
  <si>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</si>
  <si>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</si>
  <si>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</si>
  <si>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</si>
  <si>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</si>
  <si>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</si>
  <si>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</si>
  <si>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</si>
  <si>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</si>
  <si>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</si>
  <si>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</si>
  <si>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</si>
  <si>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</si>
  <si>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</si>
  <si>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</si>
  <si>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</si>
  <si>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</si>
  <si>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</si>
  <si>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</si>
  <si>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</si>
  <si>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</si>
  <si>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</si>
  <si>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</si>
  <si>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</si>
  <si>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</si>
  <si>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</si>
  <si>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</si>
  <si>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</si>
  <si>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</si>
  <si>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</si>
  <si>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</si>
  <si>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</si>
  <si>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</si>
  <si>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</si>
  <si>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</si>
  <si>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</si>
  <si>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</si>
  <si>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</si>
  <si>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</si>
  <si>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</si>
  <si>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</si>
  <si>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</si>
  <si>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</si>
  <si>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</si>
  <si>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</si>
  <si>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</si>
  <si>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</si>
  <si>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UHCH Competitive</t>
  </si>
  <si>
    <t>Envision 17 Special</t>
  </si>
  <si>
    <t>Envision 6 Special</t>
  </si>
  <si>
    <t>Envision 9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</si>
</sst>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3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9" totalsRowShown="0" headerRowDxfId="53" dataDxfId="52">
  <autoFilter ref="A1:V159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1"/>
    <tableColumn id="15" xr3:uid="{965DA40D-EBE9-42CF-B56F-A6A77EF637F0}" name="haDescription" dataDxfId="50"/>
    <tableColumn id="13" xr3:uid="{130CAF40-E0C6-4E3E-B004-85850140B916}" name="BiNuralMSRP w/Charger" dataDxfId="49">
      <calculatedColumnFormula>(HearingAids[[#This Row],[haMSRP]]*2)+HearingAids[[#This Row],[chargerPrice]]</calculatedColumnFormula>
    </tableColumn>
    <tableColumn id="3" xr3:uid="{BA070518-7526-4FCA-A727-C48F8CD389F1}" name="haMSRP" dataDxfId="48" dataCellStyle="Comma"/>
    <tableColumn id="17" xr3:uid="{00383612-0531-419F-BDF0-C61ADC5A5242}" name="Discount Type 1" dataDxfId="47" dataCellStyle="Comma"/>
    <tableColumn id="18" xr3:uid="{238DF570-BCC6-441D-86CE-1CD2C0CBB0A4}" name="Discount Amount 1" dataDxfId="46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45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44" dataCellStyle="Comma"/>
    <tableColumn id="2" xr3:uid="{A443216B-20E9-4998-AF64-4AF2D830D488}" name="Discount Type 2" dataDxfId="43" dataCellStyle="Comma"/>
    <tableColumn id="6" xr3:uid="{97DC0668-F1BB-4221-B66A-0541EE63F239}" name="Discount Amount 2" dataDxfId="42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1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0" dataCellStyle="Comma"/>
    <tableColumn id="19" xr3:uid="{7FD8661B-3CB2-4419-B4E4-F4B466463008}" name="Discount Type 3" dataDxfId="39" dataCellStyle="Comma"/>
    <tableColumn id="21" xr3:uid="{F690564D-67FB-47A7-BB92-4594973E8684}" name="Discount Amount 3" dataDxfId="38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37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36" dataCellStyle="Comma"/>
    <tableColumn id="10" xr3:uid="{C584D592-9121-42BD-ADD1-A997B12ADB03}" name="paFittingFee" dataDxfId="35" dataCellStyle="Comma"/>
    <tableColumn id="4" xr3:uid="{D4BCCF1D-8129-4502-AE64-888D352A8485}" name="chargerType" dataDxfId="34" dataCellStyle="Comma"/>
    <tableColumn id="5" xr3:uid="{8D61B71A-686D-41F5-A2BF-54F259932C23}" name="chargerPrice" dataDxfId="33" dataCellStyle="Comma"/>
    <tableColumn id="11" xr3:uid="{8C0379A7-F346-4094-953F-A4AB4D0878CB}" name="haReceiverType" dataDxfId="32" dataCellStyle="Comma"/>
    <tableColumn id="9" xr3:uid="{5D6BB6BD-447F-4911-B6E4-986FB62F14A1}" name="haReceiverPrice" dataDxfId="31" dataCellStyle="Comma"/>
    <tableColumn id="12" xr3:uid="{E1863ADB-80F5-499D-B829-43F23A36EF68}" name="haReceiverDiscountDescription" dataDxfId="30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29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28"/>
    <tableColumn id="4" xr3:uid="{AFD2CC34-308A-452C-88C9-7ABCC4C3CBAE}" name="barcode" dataDxfId="27">
      <calculatedColumnFormula>"("&amp;A2&amp;")"</calculatedColumnFormula>
    </tableColumn>
    <tableColumn id="9" xr3:uid="{B8801611-8566-463A-835D-35713DE2FBEA}" name="receiverType" dataDxfId="26"/>
    <tableColumn id="1" xr3:uid="{AD24FFA9-E8B9-4018-8A06-B4494014DBB8}" name="receiverRightDescription2" dataDxfId="25"/>
    <tableColumn id="2" xr3:uid="{2C8BFB26-ADC9-49BF-859D-B9B1DD563DA3}" name="receiverLeftDescription" dataDxfId="24"/>
    <tableColumn id="8" xr3:uid="{DF46FFD8-CF92-4CF1-A0FF-3A3AA14FB6A7}" name="receiverListAmount" dataDxfId="23"/>
    <tableColumn id="5" xr3:uid="{F789C631-ACE4-4877-A193-CFB176AB4CAA}" name="receiverDiscountAmount" dataDxfId="22"/>
    <tableColumn id="6" xr3:uid="{F07C2478-D3D3-4691-BC4C-7E1A65A10250}" name="receiverDiscountDescription" dataDxfId="21"/>
    <tableColumn id="7" xr3:uid="{F77E97F1-5006-4D72-B46E-440B6D66854F}" name="receiverPrice" dataDxfId="20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59" headerRowBorderDxfId="58" tableBorderDxfId="57">
  <autoFilter ref="A1:H92" xr:uid="{DF14951C-F3AB-4A56-8D68-8FEECEDF206A}">
    <filterColumn colId="7">
      <filters>
        <filter val="Open House Gold Bundle"/>
        <filter val="Open House Platinum Bundle"/>
        <filter val="Open House Silver Bundle"/>
      </filters>
    </filterColumn>
  </autoFilter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56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55"/>
    <tableColumn id="8" xr3:uid="{D7583571-F6BF-4E66-B4FE-1F6C0658D1E4}" name="remoteAmount" dataDxfId="54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71" t="s">
        <v>496</v>
      </c>
      <c r="C3" s="172"/>
    </row>
    <row r="4" spans="1:8" ht="13.5" thickBot="1">
      <c r="A4" s="66"/>
    </row>
    <row r="5" spans="1:8" ht="13.5" thickBot="1">
      <c r="A5" s="66" t="s">
        <v>0</v>
      </c>
      <c r="B5" s="171">
        <v>2</v>
      </c>
      <c r="C5" s="17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71" t="s">
        <v>626</v>
      </c>
      <c r="C7" s="17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5819</v>
      </c>
      <c r="C13" s="74" t="s">
        <v>412</v>
      </c>
      <c r="D13" s="76" cm="1">
        <f t="array" ref="D13">IF($B$5=1,"",_xlfn.XLOOKUP($B$3&amp;$B$7,haList!A:A&amp;haList!I:I,haList!D:D))</f>
        <v>5819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-1256.5</v>
      </c>
      <c r="C14" s="74" t="s">
        <v>538</v>
      </c>
      <c r="D14" s="61" cm="1">
        <f t="array" ref="D14">IF(B5=1,"",_xlfn.XLOOKUP($B$3,haList!$A:$A,-haList!$F:$F))</f>
        <v>-1256.5</v>
      </c>
      <c r="E14" s="57"/>
      <c r="F14" s="57"/>
    </row>
    <row r="15" spans="1:8" ht="18" customHeight="1">
      <c r="A15" s="74" t="s">
        <v>587</v>
      </c>
      <c r="B15" s="75">
        <f>B13+B14</f>
        <v>4562.5</v>
      </c>
      <c r="C15" s="74" t="s">
        <v>587</v>
      </c>
      <c r="D15" s="77">
        <f>IF(B5=1,"",D13+D14)</f>
        <v>4562.5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-750</v>
      </c>
      <c r="C16" s="74" t="s">
        <v>588</v>
      </c>
      <c r="D16" s="75" cm="1">
        <f t="array" ref="D16">IF(B5=1,"",_xlfn.XLOOKUP($B$3&amp;$B$7,haList!$A:$A&amp;haList!$I:$I,-haList!$J:$J))</f>
        <v>-750</v>
      </c>
      <c r="E16" s="57"/>
      <c r="F16" s="57"/>
    </row>
    <row r="17" spans="1:9" ht="18" customHeight="1">
      <c r="A17" s="74" t="s">
        <v>589</v>
      </c>
      <c r="B17" s="75">
        <f>B15+B16</f>
        <v>3812.5</v>
      </c>
      <c r="C17" s="74" t="s">
        <v>589</v>
      </c>
      <c r="D17" s="77">
        <f>IF(B5=1,"",D15+D16)</f>
        <v>3812.5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3812.5</v>
      </c>
      <c r="C19" s="78" t="s">
        <v>591</v>
      </c>
      <c r="D19" s="80">
        <f>IF(B5=1,"",D17+D18)</f>
        <v>3812.5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3812.5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3812.5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7950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8350</v>
      </c>
      <c r="D29" s="86"/>
      <c r="E29" s="86"/>
      <c r="F29" s="58"/>
      <c r="H29" s="57"/>
    </row>
    <row r="30" spans="1:9" ht="18" customHeight="1">
      <c r="A30" s="170"/>
      <c r="B30" s="170"/>
      <c r="C30" s="17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8350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3350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zoomScale="80" zoomScaleNormal="80" workbookViewId="0">
      <pane xSplit="1" ySplit="1" topLeftCell="B104" activePane="bottomRight" state="frozen"/>
      <selection pane="topRight" activeCell="B1" sqref="B1"/>
      <selection pane="bottomLeft" activeCell="A2" sqref="A2"/>
      <selection pane="bottomRight" activeCell="G117" sqref="G117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0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1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1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1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1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1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2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1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1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1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1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1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1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1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11" t="s">
        <v>617</v>
      </c>
      <c r="B35" s="3" t="s">
        <v>618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1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1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1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1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1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1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619</v>
      </c>
      <c r="B43" s="3" t="s">
        <v>620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621</v>
      </c>
      <c r="B44" s="3" t="s">
        <v>622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623</v>
      </c>
      <c r="B45" s="3" t="s">
        <v>624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626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627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628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1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1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1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1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1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1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1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1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1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1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1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2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1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1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1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1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1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1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1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1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1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1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619</v>
      </c>
      <c r="B91" s="3" t="s">
        <v>620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11" t="s">
        <v>617</v>
      </c>
      <c r="B92" s="3" t="s">
        <v>618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623</v>
      </c>
      <c r="B93" s="3" t="s">
        <v>622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621</v>
      </c>
      <c r="B94" s="3" t="s">
        <v>624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1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1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1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1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1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1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1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1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1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3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1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1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1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1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1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1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1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1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1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1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1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1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619</v>
      </c>
      <c r="B123" s="3" t="s">
        <v>620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621</v>
      </c>
      <c r="B124" s="3" t="s">
        <v>622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623</v>
      </c>
      <c r="B125" s="3" t="s">
        <v>624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1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1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1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1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1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1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619</v>
      </c>
      <c r="B137" s="3" t="s">
        <v>620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621</v>
      </c>
      <c r="B138" s="3" t="s">
        <v>622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3" t="s">
        <v>624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4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5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5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5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5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5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5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5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625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67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625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67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625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67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625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67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68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9" t="s">
        <v>11</v>
      </c>
      <c r="Y153" s="25"/>
      <c r="Z153" s="25"/>
      <c r="AA153" s="25"/>
      <c r="AB153"/>
      <c r="AC153"/>
      <c r="AD153"/>
      <c r="AE153"/>
    </row>
    <row r="154" spans="1:31" ht="12.75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9" t="s">
        <v>11</v>
      </c>
      <c r="Y154" s="25"/>
      <c r="Z154" s="25"/>
      <c r="AA154" s="25"/>
      <c r="AB154"/>
      <c r="AC154"/>
      <c r="AD154"/>
      <c r="AE154"/>
    </row>
    <row r="155" spans="1:31" ht="12.75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9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2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1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1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1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1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1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1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29"/>
      <c r="B191" s="29"/>
      <c r="C191" s="29"/>
      <c r="I191" s="31"/>
      <c r="J191" s="31"/>
      <c r="K191" s="31"/>
      <c r="M191" s="31"/>
      <c r="N191" s="31"/>
      <c r="O191" s="31"/>
      <c r="Q191" s="30"/>
      <c r="U191" s="31"/>
      <c r="X191" s="8"/>
      <c r="Y191" s="31"/>
      <c r="Z191" s="31"/>
      <c r="AA191" s="31"/>
      <c r="AB191" s="31"/>
      <c r="AC191" s="31"/>
      <c r="AD191" s="31"/>
    </row>
    <row r="192" spans="1:30" ht="12.75">
      <c r="A192" s="29"/>
      <c r="B192" s="29"/>
      <c r="C192" s="29"/>
      <c r="I192" s="31"/>
      <c r="J192" s="31"/>
      <c r="K192" s="31"/>
      <c r="M192" s="31"/>
      <c r="N192" s="31"/>
      <c r="O192" s="31"/>
      <c r="Q192" s="30"/>
      <c r="U192" s="31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  <c r="X232" s="8"/>
      <c r="Y232" s="31"/>
      <c r="Z232" s="31"/>
      <c r="AA232" s="31"/>
      <c r="AB232" s="31"/>
      <c r="AC232" s="31"/>
      <c r="AD232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tabSelected="1" workbookViewId="0">
      <pane ySplit="1" topLeftCell="A42" activePane="bottomLeft" state="frozen"/>
      <selection pane="bottomLeft" activeCell="C1" sqref="C1:H48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 hidden="1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 hidden="1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 hidden="1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 hidden="1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 hidden="1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 hidden="1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 hidden="1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 hidden="1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 hidden="1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 hidden="1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 hidden="1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 hidden="1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 hidden="1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 hidden="1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 hidden="1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 hidden="1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 hidden="1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 hidden="1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 hidden="1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 hidden="1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 hidden="1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 hidden="1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 hidden="1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 hidden="1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 hidden="1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 hidden="1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 hidden="1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 hidden="1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 hidden="1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 hidden="1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 hidden="1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 hidden="1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 hidden="1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 hidden="1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 hidden="1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 hidden="1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 hidden="1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 hidden="1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 hidden="1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 hidden="1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50</v>
      </c>
      <c r="G42" s="25">
        <f>Table2[[#This Row],[remoteListAmount]]-Table2[[#This Row],[remoteDiscountAmount]]</f>
        <v>125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80</v>
      </c>
      <c r="G43" s="25">
        <f>Table2[[#This Row],[remoteListAmount]]-Table2[[#This Row],[remoteDiscountAmount]]</f>
        <v>370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55</v>
      </c>
      <c r="G44" s="25">
        <f>Table2[[#This Row],[remoteListAmount]]-Table2[[#This Row],[remoteDiscountAmount]]</f>
        <v>120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85</v>
      </c>
      <c r="G45" s="25">
        <f>Table2[[#This Row],[remoteListAmount]]-Table2[[#This Row],[remoteDiscountAmount]]</f>
        <v>365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85</v>
      </c>
      <c r="G46" s="25">
        <f>Table2[[#This Row],[remoteListAmount]]-Table2[[#This Row],[remoteDiscountAmount]]</f>
        <v>365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50</v>
      </c>
      <c r="G47" s="25">
        <f>Table2[[#This Row],[remoteListAmount]]-Table2[[#This Row],[remoteDiscountAmount]]</f>
        <v>125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80</v>
      </c>
      <c r="G48" s="25">
        <f>Table2[[#This Row],[remoteListAmount]]-Table2[[#This Row],[remoteDiscountAmount]]</f>
        <v>370</v>
      </c>
      <c r="H48" t="s">
        <v>467</v>
      </c>
    </row>
    <row r="49" spans="1:10" hidden="1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 hidden="1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 hidden="1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 hidden="1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 hidden="1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 hidden="1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 hidden="1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 hidden="1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 hidden="1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 hidden="1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 hidden="1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 hidden="1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 hidden="1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 hidden="1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 hidden="1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 hidden="1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 hidden="1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 hidden="1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 hidden="1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 hidden="1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 hidden="1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 hidden="1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 hidden="1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 hidden="1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 hidden="1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 hidden="1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 hidden="1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 hidden="1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 hidden="1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 hidden="1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 hidden="1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 hidden="1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 hidden="1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 hidden="1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 hidden="1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 hidden="1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 hidden="1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 hidden="1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 hidden="1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 hidden="1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 hidden="1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 hidden="1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 hidden="1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 hidden="1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Early Lease Upgrade</v>
      </c>
      <c r="C5" t="s">
        <v>64</v>
      </c>
    </row>
    <row r="6" spans="1:5">
      <c r="A6" t="str">
        <v>Beltone BTE Digital Boost Ultra 6 95DWT</v>
      </c>
      <c r="B6" t="str">
        <v>Envision 17 Special</v>
      </c>
      <c r="C6" t="s">
        <v>596</v>
      </c>
    </row>
    <row r="7" spans="1:5">
      <c r="A7" t="str">
        <v>Beltone BTE Digital Boost Ultra 9 86DWHT</v>
      </c>
      <c r="B7" t="str">
        <v>Envision 6 Special</v>
      </c>
      <c r="C7" t="s">
        <v>65</v>
      </c>
    </row>
    <row r="8" spans="1:5">
      <c r="A8" t="str">
        <v>Beltone BTE Digital Boost Ultra 9 95DWT</v>
      </c>
      <c r="B8" t="str">
        <v>Envision 9 Special</v>
      </c>
    </row>
    <row r="9" spans="1:5">
      <c r="A9" t="str">
        <v>Beltone BTE Digital Rely 2 66DW</v>
      </c>
      <c r="B9" t="str">
        <v>Fast Funding</v>
      </c>
    </row>
    <row r="10" spans="1:5">
      <c r="A10" t="str">
        <v>Beltone BTE Digital Rely 2 76DW</v>
      </c>
      <c r="B10" t="str">
        <v>GHB Competitive</v>
      </c>
    </row>
    <row r="11" spans="1:5">
      <c r="A11" t="str">
        <v>Beltone BTE Digital Rely 2 86DWH</v>
      </c>
      <c r="B11" t="str">
        <v>HCS Competitive</v>
      </c>
    </row>
    <row r="12" spans="1:5">
      <c r="A12" t="str">
        <v>Beltone BTE Digital Rely 2 95DW</v>
      </c>
      <c r="B12" t="str">
        <v>HearUSA Competitive</v>
      </c>
    </row>
    <row r="13" spans="1:5">
      <c r="A13" t="str">
        <v>Beltone BTE Digital Rely 3 66DW</v>
      </c>
      <c r="B13" t="str">
        <v>Humana</v>
      </c>
    </row>
    <row r="14" spans="1:5">
      <c r="A14" t="str">
        <v>Beltone BTE Digital Rely 3 76DW</v>
      </c>
      <c r="B14" t="str">
        <v>Marketing Offer</v>
      </c>
    </row>
    <row r="15" spans="1:5">
      <c r="A15" t="str">
        <v>Beltone BTE Digital Rely 3 86DWH</v>
      </c>
      <c r="B15" t="str">
        <v>Martins Point Competitive</v>
      </c>
    </row>
    <row r="16" spans="1:5">
      <c r="A16" t="str">
        <v>Beltone BTE Digital Rely 3 95DW</v>
      </c>
      <c r="B16" t="str">
        <v>Nations Hearing Competitive</v>
      </c>
    </row>
    <row r="17" spans="1:2">
      <c r="A17" t="str">
        <v>Beltone BTE Digital Rely 4 66DW</v>
      </c>
      <c r="B17" t="str">
        <v>Open House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2026-03-16T13:11:30Z</dcterms:modified>
  <cp:category/>
  <cp:contentStatus/>
</cp:coreProperties>
</file>