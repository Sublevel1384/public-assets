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35" documentId="8_{964C585B-190F-46EC-9553-F8D486DF59FA}" xr6:coauthVersionLast="47" xr6:coauthVersionMax="47" xr10:uidLastSave="{8C1EBFAA-A9B5-493B-8E9B-21FD8026B00A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43" i="1" l="1"/>
  <c r="J42" i="1"/>
  <c r="L43" i="1"/>
  <c r="L42" i="1"/>
  <c r="F162" i="1"/>
  <c r="G162" i="1" s="1"/>
  <c r="K162" i="1" s="1"/>
  <c r="C162" i="1"/>
  <c r="F161" i="1"/>
  <c r="G161" i="1" s="1"/>
  <c r="K161" i="1" s="1"/>
  <c r="C161" i="1"/>
  <c r="N157" i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G159" i="1" l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<sst xmlns="http://schemas.openxmlformats.org/spreadsheetml/2006/main" count="2856" uniqueCount="629">
  <si>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</si>
  <si>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</si>
  <si>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</si>
  <si>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</si>
  <si>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</si>
  <si>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</si>
  <si>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</si>
  <si>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</si>
  <si>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</si>
  <si>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</si>
  <si>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</si>
  <si>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</si>
  <si>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</si>
  <si>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</si>
  <si>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</si>
  <si>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</si>
  <si>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</si>
  <si>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</si>
  <si>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</si>
  <si>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</si>
  <si>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</si>
  <si>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</si>
  <si>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</si>
  <si>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</si>
  <si>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</si>
  <si>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</si>
  <si>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</si>
  <si>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</si>
  <si>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</si>
  <si>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</si>
  <si>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</si>
  <si>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</si>
  <si>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</si>
  <si>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</si>
  <si>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</si>
  <si>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</si>
  <si>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</si>
  <si>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</si>
  <si>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</si>
  <si>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</si>
  <si>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</si>
  <si>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</si>
  <si>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</si>
  <si>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</si>
  <si>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</si>
  <si>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</si>
  <si>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</si>
  <si>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</si>
  <si>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</si>
  <si>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</si>
  <si>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</si>
  <si>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</si>
  <si>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</si>
  <si>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</si>
  <si>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</si>
  <si>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</si>
  <si>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</si>
  <si>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</si>
  <si>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</si>
  <si>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</si>
  <si>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</si>
  <si>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</si>
  <si>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</si>
  <si>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</si>
  <si>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</si>
  <si>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</si>
  <si>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</si>
  <si>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</si>
  <si>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</si>
  <si>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</si>
  <si>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</si>
  <si>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</si>
  <si>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</si>
  <si>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</si>
  <si>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</si>
  <si>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</si>
  <si>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</si>
  <si>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</si>
  <si>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</si>
  <si>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</si>
  <si>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</si>
  <si>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</si>
  <si>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</si>
  <si>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</si>
  <si>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</si>
  <si>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</si>
  <si>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</si>
  <si>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</si>
  <si>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</si>
  <si>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</si>
  <si>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</si>
  <si>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</si>
  <si>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</si>
  <si>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</si>
  <si>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</si>
  <si>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</si>
  <si>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</si>
  <si>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</si>
  <si>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</si>
  <si>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</si>
  <si>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</si>
  <si>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</si>
  <si>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</si>
  <si>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</si>
  <si>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</si>
  <si>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</si>
  <si>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</si>
  <si>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</si>
  <si>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</si>
  <si>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</si>
  <si>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</si>
  <si>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</si>
  <si>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</si>
  <si>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</si>
  <si>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</si>
  <si>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</si>
  <si>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</si>
  <si>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</si>
  <si>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</si>
  <si>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</si>
  <si>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</si>
  <si>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</si>
  <si>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</si>
  <si>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</si>
  <si>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</si>
  <si>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</si>
  <si>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</si>
  <si>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</si>
  <si>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</si>
  <si>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</si>
  <si>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</si>
  <si>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</si>
  <si>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</si>
  <si>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</si>
  <si>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</si>
  <si>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</si>
  <si>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</si>
  <si>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</si>
  <si>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</si>
  <si>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</si>
  <si>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</si>
  <si>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</si>
  <si>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</si>
  <si>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</si>
  <si>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</si>
  <si>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</si>
  <si>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</si>
  <si>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</si>
  <si>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</si>
  <si>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</si>
  <si>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</si>
  <si>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</si>
  <si>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</si>
  <si>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</si>
  <si>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</si>
  <si>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</si>
  <si>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</si>
  <si>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</si>
  <si>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</si>
  <si>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</si>
  <si>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</si>
  <si>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</si>
  <si>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</si>
  <si>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</si>
  <si>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</si>
  <si>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</si>
  <si>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</si>
  <si>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</si>
  <si>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</si>
  <si>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</si>
  <si>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</si>
  <si>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</si>
  <si>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</si>
  <si>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</si>
  <si>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</si>
  <si>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</si>
  <si>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</si>
  <si>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</si>
  <si>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</si>
  <si>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</si>
  <si>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</si>
  <si>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</si>
  <si>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</si>
  <si>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</si>
  <si>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</si>
  <si>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</si>
  <si>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</si>
  <si>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</si>
  <si>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</si>
  <si>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</si>
  <si>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</si>
  <si>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</si>
  <si>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</si>
  <si>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</si>
  <si>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</si>
  <si>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</si>
  <si>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</si>
  <si>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</si>
  <si>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</si>
  <si>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</si>
  <si>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</si>
  <si>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</si>
  <si>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</si>
  <si>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</si>
  <si>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</si>
  <si>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</si>
  <si>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</si>
  <si>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</si>
  <si>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</si>
  <si>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</si>
  <si>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</si>
  <si>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</si>
  <si>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</si>
  <si>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</si>
  <si>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</si>
  <si>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</si>
  <si>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</si>
  <si>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</si>
  <si>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</si>
  <si>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</si>
  <si>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</si>
  <si>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</si>
  <si>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</si>
  <si>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</si>
  <si>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</si>
  <si>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</si>
  <si>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</si>
  <si>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</si>
  <si>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</si>
  <si>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</si>
  <si>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</si>
  <si>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</si>
  <si>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</si>
  <si>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</si>
  <si>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</si>
  <si>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</si>
  <si>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</si>
  <si>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</si>
  <si>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</si>
  <si>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</si>
  <si>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</si>
  <si>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</si>
  <si>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</si>
  <si>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</si>
  <si>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</si>
  <si>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</si>
  <si>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</si>
  <si>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</si>
  <si>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</si>
  <si>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</si>
  <si>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</si>
  <si>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</si>
  <si>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</si>
  <si>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</si>
  <si>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</si>
  <si>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</si>
  <si>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</si>
  <si>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</si>
  <si>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</si>
  <si>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</si>
  <si>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</si>
  <si>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</si>
  <si>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</si>
  <si>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</si>
  <si>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</si>
  <si>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</si>
  <si>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</si>
  <si>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</si>
  <si>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</si>
  <si>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</si>
  <si>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</si>
  <si>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</si>
  <si>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</si>
  <si>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</si>
  <si>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</si>
  <si>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</si>
  <si>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</si>
  <si>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</si>
  <si>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</si>
  <si>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</si>
  <si>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</si>
  <si>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</si>
  <si>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</si>
  <si>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</si>
  <si>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</si>
  <si>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</si>
  <si>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</si>
  <si>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</si>
  <si>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</si>
  <si>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</si>
  <si>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</si>
  <si>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</si>
  <si>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</si>
  <si>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</si>
  <si>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</si>
  <si>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</si>
  <si>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</si>
  <si>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</si>
  <si>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</si>
  <si>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</si>
  <si>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</si>
  <si>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</si>
  <si>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</si>
  <si>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</si>
  <si>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</si>
  <si>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</si>
  <si>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</si>
  <si>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</si>
  <si>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</si>
  <si>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</si>
  <si>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</si>
  <si>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</si>
  <si>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</si>
  <si>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</si>
  <si>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</si>
  <si>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</si>
  <si>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</si>
  <si>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</si>
  <si>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</si>
  <si>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</si>
  <si>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</si>
  <si>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</si>
  <si>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</si>
  <si>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</si>
  <si>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</si>
  <si>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</si>
  <si>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</si>
  <si>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</si>
  <si>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</si>
  <si>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</si>
  <si>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</si>
  <si>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</si>
  <si>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</si>
  <si>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</si>
  <si>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</si>
  <si>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</si>
  <si>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</si>
  <si>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</si>
  <si>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</si>
  <si>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</si>
  <si>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</si>
  <si>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</si>
  <si>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</si>
  <si>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</si>
  <si>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</si>
  <si>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</si>
  <si>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</si>
  <si>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</si>
  <si>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</si>
  <si>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</si>
  <si>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</si>
  <si>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</si>
  <si>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</si>
  <si>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</si>
  <si>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</si>
  <si>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</si>
  <si>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</si>
  <si>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</si>
  <si>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</si>
  <si>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</si>
  <si>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</si>
  <si>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</si>
  <si>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</si>
  <si>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</si>
  <si>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</si>
  <si>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</si>
  <si>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</si>
  <si>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</si>
  <si>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</si>
  <si>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</si>
  <si>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</si>
  <si>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</si>
  <si>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</si>
  <si>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</si>
  <si>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</si>
  <si>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</si>
  <si>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</si>
  <si>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</si>
  <si>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</si>
  <si>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</si>
  <si>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</si>
  <si>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</si>
  <si>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</si>
  <si>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</si>
  <si>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</si>
  <si>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</si>
  <si>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</si>
  <si>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</si>
  <si>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</si>
  <si>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</si>
  <si>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</si>
  <si>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</si>
  <si>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</si>
  <si>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</si>
  <si>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</si>
  <si>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</si>
  <si>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</si>
  <si>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</si>
  <si>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</si>
  <si>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</si>
  <si>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</si>
  <si>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</si>
  <si>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</si>
  <si>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</si>
  <si>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</si>
  <si>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</si>
  <si>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</si>
  <si>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</si>
  <si>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</si>
  <si>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</si>
  <si>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</si>
  <si>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</si>
  <si>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</si>
  <si>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</si>
  <si>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</si>
  <si>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</si>
  <si>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</si>
  <si>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</si>
  <si>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</si>
  <si>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</si>
  <si>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</si>
  <si>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</si>
  <si>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</si>
  <si>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</si>
  <si>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</si>
  <si>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</si>
  <si>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</si>
  <si>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</si>
  <si>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</si>
  <si>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</si>
  <si>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</si>
  <si>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</si>
  <si>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</si>
  <si>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</si>
  <si>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</si>
  <si>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</si>
  <si>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</si>
  <si>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</si>
  <si>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</si>
  <si>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</si>
  <si>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</si>
  <si>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</si>
  <si>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</si>
  <si>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</si>
  <si>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</si>
  <si>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</si>
  <si>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</si>
  <si>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</si>
  <si>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</si>
  <si>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</si>
  <si>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</si>
  <si>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</si>
  <si>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</si>
  <si>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</si>
  <si>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</si>
  <si>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</si>
  <si>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</si>
  <si>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</si>
  <si>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</si>
  <si>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</si>
  <si>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</si>
  <si>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</si>
  <si>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</si>
  <si>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</si>
  <si>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</si>
  <si>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</si>
  <si>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</si>
  <si>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</si>
  <si>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</si>
  <si>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</si>
  <si>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</si>
  <si>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</si>
  <si>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</si>
  <si>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</si>
  <si>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</si>
  <si>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</si>
  <si>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</si>
  <si>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</si>
  <si>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</si>
  <si>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</si>
  <si>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</si>
  <si>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</si>
  <si>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</si>
  <si>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</si>
  <si>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</si>
  <si>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</si>
  <si>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</si>
  <si>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</si>
  <si>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</si>
  <si>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</si>
  <si>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</si>
  <si>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</si>
  <si>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</si>
  <si>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</si>
  <si>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</si>
  <si>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</si>
  <si>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</si>
  <si>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</si>
  <si>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</si>
  <si>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</si>
  <si>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</si>
  <si>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</si>
  <si>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</si>
  <si>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</si>
  <si>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</si>
  <si>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</si>
  <si>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</si>
  <si>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</si>
  <si>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</si>
  <si>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</si>
  <si>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</si>
  <si>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</si>
  <si>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</si>
  <si>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</si>
  <si>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</si>
  <si>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</si>
  <si>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</si>
  <si>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</si>
  <si>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</si>
  <si>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</si>
  <si>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</si>
  <si>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</si>
  <si>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</si>
  <si>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</si>
  <si>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</si>
  <si>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</si>
  <si>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</si>
  <si>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</si>
  <si>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</si>
  <si>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</si>
  <si>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</si>
  <si>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</si>
  <si>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</si>
  <si>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</si>
  <si>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</si>
  <si>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</si>
  <si>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</si>
  <si>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</si>
  <si>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</si>
  <si>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</si>
  <si>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</si>
  <si>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</si>
  <si>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</si>
  <si>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</si>
  <si>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</si>
  <si>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</si>
  <si>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</si>
  <si>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</si>
  <si>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</si>
  <si>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</si>
  <si>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</si>
  <si>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</si>
  <si>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</si>
  <si>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</si>
  <si>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</si>
  <si>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</si>
  <si>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</si>
  <si>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</si>
  <si>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</si>
  <si>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</si>
  <si>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</si>
  <si>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</si>
  <si>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</si>
  <si>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</si>
  <si>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</si>
  <si>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</si>
  <si>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</si>
  <si>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</si>
  <si>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</si>
  <si>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</si>
  <si>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</si>
  <si>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</si>
  <si>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</si>
  <si>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</si>
  <si>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</si>
  <si>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</si>
  <si>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</si>
  <si>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</si>
  <si>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</si>
  <si>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</si>
  <si>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</si>
  <si>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</si>
  <si>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</si>
  <si>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</si>
  <si>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</si>
  <si>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</si>
  <si>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</si>
  <si>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</si>
  <si>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</si>
  <si>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</si>
  <si>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</si>
  <si>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</si>
  <si>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</si>
  <si>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</si>
  <si>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</si>
  <si>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</si>
  <si>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</si>
  <si>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</si>
  <si>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</si>
  <si>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</si>
  <si>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</si>
  <si>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</si>
  <si>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</si>
  <si>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</si>
  <si>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</si>
  <si>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</si>
  <si>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</si>
  <si>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</si>
  <si>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</si>
  <si>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</si>
  <si>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</si>
  <si>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</si>
  <si>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</si>
  <si>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</si>
  <si>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</si>
  <si>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</si>
  <si>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</si>
  <si>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</si>
  <si>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</si>
  <si>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</si>
  <si>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</si>
  <si>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</si>
  <si>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</si>
  <si>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</si>
  <si>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</si>
  <si>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</si>
  <si>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</si>
  <si>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</si>
  <si>
    <t>Thanksgiving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</si>
</sst>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0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0" borderId="0" xfId="1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2" totalsRowShown="0" headerRowDxfId="59" dataDxfId="58">
  <autoFilter ref="A1:V162" xr:uid="{0EDF487B-BC6A-43CC-A5E2-F07346E1A4ED}">
    <filterColumn colId="8">
      <filters>
        <filter val="Limited Specials"/>
      </filters>
    </filterColumn>
  </autoFilter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8" t="s">
        <v>499</v>
      </c>
      <c r="C3" s="129"/>
    </row>
    <row r="4" spans="1:8" ht="13.5" thickBot="1">
      <c r="A4" s="74"/>
    </row>
    <row r="5" spans="1:8" ht="13.5" thickBot="1">
      <c r="A5" s="74" t="s">
        <v>0</v>
      </c>
      <c r="B5" s="128">
        <v>2</v>
      </c>
      <c r="C5" s="129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8" t="s">
        <v>597</v>
      </c>
      <c r="C7" s="129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7"/>
      <c r="B30" s="127"/>
      <c r="C30" s="127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E42" activePane="bottomRight" state="frozen"/>
      <selection pane="topRight" activeCell="B1" sqref="B1"/>
      <selection pane="bottomLeft" activeCell="A2" sqref="A2"/>
      <selection pane="bottomRight" activeCell="I167" sqref="I16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 hidden="1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 hidden="1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 hidden="1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 hidden="1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 hidden="1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121">
        <f>750</f>
        <v>750</v>
      </c>
      <c r="K42" s="53">
        <f>HearingAids[[#This Row],[HAListPrice]]-HearingAids[[#This Row],[Discount Amount 2]]</f>
        <v>4050</v>
      </c>
      <c r="L42" s="53">
        <f>9350</f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f>750</f>
        <v>750</v>
      </c>
      <c r="K43" s="53">
        <f>HearingAids[[#This Row],[HAListPrice]]-HearingAids[[#This Row],[Discount Amount 2]]</f>
        <v>3450</v>
      </c>
      <c r="L43" s="53">
        <f>8150</f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 hidden="1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 hidden="1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 hidden="1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 hidden="1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 hidden="1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 hidden="1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 hidden="1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 hidden="1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 hidden="1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 hidden="1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 hidden="1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 hidden="1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 hidden="1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 hidden="1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 hidden="1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 hidden="1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 hidden="1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 hidden="1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 hidden="1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 hidden="1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 hidden="1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 hidden="1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 hidden="1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 hidden="1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 hidden="1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 hidden="1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 hidden="1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 hidden="1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 hidden="1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 hidden="1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 hidden="1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 hidden="1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 hidden="1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 hidden="1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 hidden="1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 hidden="1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 hidden="1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 hidden="1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 hidden="1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 hidden="1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 hidden="1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 hidden="1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 hidden="1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 hidden="1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 hidden="1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 hidden="1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 hidden="1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 hidden="1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 hidden="1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 hidden="1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 hidden="1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 hidden="1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 hidden="1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 hidden="1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 hidden="1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1" ht="12.75" hidden="1">
      <c r="A161" s="115" t="s">
        <v>496</v>
      </c>
      <c r="B161" s="115" t="s">
        <v>503</v>
      </c>
      <c r="C161" s="116">
        <f>(HearingAids[[#This Row],[haMSRP]]*2)+HearingAids[[#This Row],[chargerPrice]]</f>
        <v>11888</v>
      </c>
      <c r="D161" s="117">
        <v>5819</v>
      </c>
      <c r="E161" s="117" t="s">
        <v>538</v>
      </c>
      <c r="F161" s="117">
        <f>HearingAids[[#This Row],[haMSRP]]-((HearingAids[[#This Row],[ListPriceBinural]]-HearingAids[[#This Row],[chargerPrice]])/2)</f>
        <v>1019</v>
      </c>
      <c r="G161" s="117">
        <f>HearingAids[[#This Row],[haMSRP]]-HearingAids[[#This Row],[Discount Amount 1]]</f>
        <v>4800</v>
      </c>
      <c r="H161" s="119">
        <v>9850</v>
      </c>
      <c r="I161" s="120" t="s">
        <v>628</v>
      </c>
      <c r="J161" s="121">
        <v>1400</v>
      </c>
      <c r="K161" s="121">
        <f>HearingAids[[#This Row],[HAListPrice]]-HearingAids[[#This Row],[Discount Amount 2]]</f>
        <v>3400</v>
      </c>
      <c r="L161" s="121">
        <v>9350</v>
      </c>
      <c r="M161" s="126"/>
      <c r="N161" s="121"/>
      <c r="O161" s="120"/>
      <c r="P161" s="117">
        <v>7700</v>
      </c>
      <c r="Q161" s="122">
        <v>1</v>
      </c>
      <c r="R161" s="122" t="s">
        <v>13</v>
      </c>
      <c r="S161" s="122">
        <v>250</v>
      </c>
      <c r="T161" s="124" t="s">
        <v>14</v>
      </c>
      <c r="U161" s="124">
        <v>0</v>
      </c>
      <c r="V161" s="117" t="s">
        <v>11</v>
      </c>
      <c r="Y161" s="25"/>
      <c r="Z161" s="25"/>
      <c r="AA161" s="25"/>
      <c r="AB161"/>
      <c r="AC161"/>
      <c r="AD161"/>
      <c r="AE161"/>
    </row>
    <row r="162" spans="1:31" ht="12.75" hidden="1">
      <c r="A162" s="115" t="s">
        <v>497</v>
      </c>
      <c r="B162" s="115" t="s">
        <v>504</v>
      </c>
      <c r="C162" s="116">
        <f>(HearingAids[[#This Row],[haMSRP]]*2)+HearingAids[[#This Row],[chargerPrice]]</f>
        <v>9608</v>
      </c>
      <c r="D162" s="117">
        <v>4679</v>
      </c>
      <c r="E162" s="117" t="s">
        <v>538</v>
      </c>
      <c r="F162" s="117">
        <f>HearingAids[[#This Row],[haMSRP]]-((HearingAids[[#This Row],[ListPriceBinural]]-HearingAids[[#This Row],[chargerPrice]])/2)</f>
        <v>479</v>
      </c>
      <c r="G162" s="117">
        <f>HearingAids[[#This Row],[haMSRP]]-HearingAids[[#This Row],[Discount Amount 1]]</f>
        <v>4200</v>
      </c>
      <c r="H162" s="119">
        <v>8650</v>
      </c>
      <c r="I162" s="120" t="s">
        <v>628</v>
      </c>
      <c r="J162" s="121">
        <v>1200</v>
      </c>
      <c r="K162" s="121">
        <f>HearingAids[[#This Row],[HAListPrice]]-HearingAids[[#This Row],[Discount Amount 2]]</f>
        <v>3000</v>
      </c>
      <c r="L162" s="121">
        <v>8150</v>
      </c>
      <c r="M162" s="126"/>
      <c r="N162" s="121"/>
      <c r="O162" s="120"/>
      <c r="P162" s="117">
        <v>6700</v>
      </c>
      <c r="Q162" s="122">
        <v>1</v>
      </c>
      <c r="R162" s="122" t="s">
        <v>13</v>
      </c>
      <c r="S162" s="122">
        <v>250</v>
      </c>
      <c r="T162" s="124" t="s">
        <v>14</v>
      </c>
      <c r="U162" s="124">
        <v>0</v>
      </c>
      <c r="V162" s="117" t="s">
        <v>11</v>
      </c>
      <c r="Y162" s="25"/>
      <c r="Z162" s="25"/>
      <c r="AA162" s="25"/>
      <c r="AB162"/>
      <c r="AC162"/>
      <c r="AD162"/>
      <c r="AE162"/>
    </row>
    <row r="163" spans="1:31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1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1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1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1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1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1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1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1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1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1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1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1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1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Thanksgiving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2025-11-24T17:39:45Z</dcterms:modified>
  <cp:category/>
  <cp:contentStatus/>
</cp:coreProperties>
</file>