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71" documentId="8_{964C585B-190F-46EC-9553-F8D486DF59FA}" xr6:coauthVersionLast="47" xr6:coauthVersionMax="47" xr10:uidLastSave="{6DEC5E4B-8A2E-4F05-A5E9-1E2C0F05877A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3" i="1"/>
  <c r="L92" i="1"/>
  <c r="L91" i="1"/>
  <c r="L90" i="1"/>
  <c r="L75" i="1"/>
  <c r="L96" i="1"/>
  <c r="L95" i="1"/>
  <c r="L94" i="1"/>
  <c r="G195" i="1" l="1"/>
  <c r="G66" i="1"/>
  <c r="G49" i="1"/>
  <c r="G48" i="1"/>
  <c r="K48" i="1" s="1"/>
  <c r="O48" i="1" s="1"/>
  <c r="G81" i="1"/>
  <c r="G88" i="1"/>
  <c r="K88" i="1" s="1"/>
  <c r="O88" i="1" s="1"/>
  <c r="G50" i="1"/>
  <c r="G44" i="1"/>
  <c r="G76" i="1"/>
  <c r="G67" i="1"/>
  <c r="K67" i="1" s="1"/>
  <c r="O67" i="1" s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50" i="1"/>
  <c r="O50" i="1" s="1"/>
  <c r="K66" i="1"/>
  <c r="O66" i="1" s="1"/>
  <c r="K76" i="1"/>
  <c r="O76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J189" i="1"/>
  <c r="G189" i="1"/>
  <c r="G58" i="1"/>
  <c r="K58" i="1" s="1"/>
  <c r="G12" i="1"/>
  <c r="K12" i="1" s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C25" i="2" s="1" a="1"/>
  <c r="C26" i="2" s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78" i="1" l="1"/>
  <c r="K139" i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D14" i="2" a="1"/>
  <c r="D15" i="2" s="1"/>
  <c r="B14" i="2" a="1"/>
  <c r="B15" i="2" s="1"/>
  <c r="C2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7" i="2" s="1"/>
  <c r="B16" i="2" a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<sst xmlns="http://schemas.openxmlformats.org/spreadsheetml/2006/main" count="3123" uniqueCount="646">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</sst>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8">
      <filters>
        <filter val="Open House Special"/>
      </filters>
    </filterColumn>
  </autoFilter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F5" activePane="bottomRight" state="frozen"/>
      <selection pane="topRight" activeCell="B1" sqref="B1"/>
      <selection pane="bottomLeft" activeCell="A2" sqref="A2"/>
      <selection pane="bottomRight" activeCell="J98" sqref="J98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 hidden="1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926.5</v>
      </c>
      <c r="G93" s="44">
        <f>HearingAids7[[#This Row],[haMSRP]]-HearingAids7[[#This Row],[Discount Amount 1]]</f>
        <v>4112.5</v>
      </c>
      <c r="H93" s="105">
        <v>8550</v>
      </c>
      <c r="I93" s="77" t="s">
        <v>45</v>
      </c>
      <c r="J93" s="46">
        <v>0</v>
      </c>
      <c r="K93" s="46">
        <f>HearingAids7[[#This Row],[HAListPrice]]-HearingAids7[[#This Row],[Discount Amount 2]]</f>
        <v>4112.5</v>
      </c>
      <c r="L93" s="106">
        <f>HearingAids7[[#This Row],[ListPriceBinural]]</f>
        <v>8550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 hidden="1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525</v>
      </c>
      <c r="K98" s="46">
        <f>HearingAids7[[#This Row],[HAListPrice]]-HearingAids7[[#This Row],[Discount Amount 2]]</f>
        <v>3037.5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625</v>
      </c>
      <c r="K99" s="46">
        <f>HearingAids7[[#This Row],[HAListPrice]]-HearingAids7[[#This Row],[Discount Amount 2]]</f>
        <v>3487.5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2026-09-24T19:28:49Z</dcterms:modified>
  <cp:category/>
  <cp:contentStatus/>
</cp:coreProperties>
</file>