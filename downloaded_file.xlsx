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291" documentId="8_{964C585B-190F-46EC-9553-F8D486DF59FA}" xr6:coauthVersionLast="47" xr6:coauthVersionMax="47" xr10:uidLastSave="{A64C0587-9D36-498F-9BAD-8389FA634CA8}"/>
  <bookViews>
    <workbookView xWindow="-120" yWindow="-120" windowWidth="29040" windowHeight="15720" firstSheet="1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0" i="1" l="1"/>
  <c r="N160" i="1" s="1"/>
  <c r="L161" i="1"/>
  <c r="N161" i="1" s="1"/>
  <c r="L162" i="1"/>
  <c r="N162" i="1" s="1"/>
  <c r="L163" i="1"/>
  <c r="N163" i="1" s="1"/>
  <c r="C160" i="1"/>
  <c r="F160" i="1" s="1"/>
  <c r="G160" i="1" s="1"/>
  <c r="C161" i="1"/>
  <c r="C162" i="1"/>
  <c r="F162" i="1" s="1"/>
  <c r="G162" i="1" s="1"/>
  <c r="C163" i="1"/>
  <c r="F163" i="1" s="1"/>
  <c r="G163" i="1" s="1"/>
  <c r="F48" i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F161" i="1" l="1"/>
  <c r="J163" i="1"/>
  <c r="J162" i="1"/>
  <c r="J160" i="1"/>
  <c r="K160" i="1" s="1"/>
  <c r="O160" i="1" s="1"/>
  <c r="J47" i="1"/>
  <c r="K47" i="1" s="1"/>
  <c r="J48" i="1"/>
  <c r="K48" i="1" s="1"/>
  <c r="G46" i="1"/>
  <c r="K46" i="1" s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J137" i="1" s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61" i="1" l="1"/>
  <c r="J161" i="1"/>
  <c r="B3" i="3"/>
  <c r="K163" i="1"/>
  <c r="O163" i="1" s="1"/>
  <c r="K162" i="1"/>
  <c r="O162" i="1" s="1"/>
  <c r="G125" i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61" i="1" l="1"/>
  <c r="O161" i="1" s="1"/>
  <c r="K137" i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<sst xmlns="http://schemas.openxmlformats.org/spreadsheetml/2006/main" count="2867" uniqueCount="638">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</sst>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1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3" fontId="11" fillId="5" borderId="0" xfId="1" applyFont="1" applyFill="1" applyAlignment="1">
      <alignment horizontal="center"/>
    </xf>
    <xf numFmtId="43" fontId="11" fillId="5" borderId="0" xfId="1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43" fontId="0" fillId="0" borderId="14" xfId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0" xfId="0" applyNumberFormat="1" applyFont="1" applyAlignment="1">
      <alignment horizontal="center"/>
    </xf>
    <xf numFmtId="1" fontId="1" fillId="0" borderId="0" xfId="1" applyNumberFormat="1" applyFont="1" applyFill="1"/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 applyAlignment="1">
      <alignment horizontal="center"/>
    </xf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43" fontId="1" fillId="0" borderId="13" xfId="1" applyFont="1" applyBorder="1"/>
    <xf numFmtId="1" fontId="1" fillId="0" borderId="13" xfId="1" applyNumberFormat="1" applyFont="1" applyBorder="1"/>
    <xf numFmtId="49" fontId="1" fillId="0" borderId="13" xfId="1" applyNumberFormat="1" applyFont="1" applyBorder="1" applyAlignment="1">
      <alignment horizontal="center"/>
    </xf>
    <xf numFmtId="49" fontId="1" fillId="0" borderId="13" xfId="1" applyNumberFormat="1" applyFont="1" applyBorder="1"/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43" fontId="1" fillId="0" borderId="14" xfId="1" applyFont="1" applyBorder="1"/>
    <xf numFmtId="1" fontId="1" fillId="0" borderId="14" xfId="1" applyNumberFormat="1" applyFont="1" applyFill="1" applyBorder="1"/>
    <xf numFmtId="49" fontId="1" fillId="0" borderId="14" xfId="1" applyNumberFormat="1" applyFont="1" applyFill="1" applyBorder="1" applyAlignment="1">
      <alignment horizontal="center"/>
    </xf>
    <xf numFmtId="49" fontId="1" fillId="0" borderId="14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border outline="0">
        <top style="thin">
          <color theme="7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3" totalsRowShown="0" headerRowDxfId="59" dataDxfId="58">
  <autoFilter ref="A1:V163" xr:uid="{0EDF487B-BC6A-43CC-A5E2-F07346E1A4ED}">
    <filterColumn colId="8">
      <filters>
        <filter val="Open House Special"/>
      </filters>
    </filterColumn>
  </autoFilter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3" tableBorderDxfId="24">
  <autoFilter ref="A1:H92" xr:uid="{DF14951C-F3AB-4A56-8D68-8FEECEDF206A}">
    <filterColumn colId="7">
      <filters>
        <filter val="Gold Bundle"/>
        <filter val="Open House Gold Bundle"/>
        <filter val="Open House Platinum Bundle"/>
        <filter val="Open House Silver Bundle"/>
        <filter val="Platinum Bundle"/>
      </filters>
    </filterColumn>
  </autoFilter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8" headerRowBorderDxfId="16" tableBorderDxfId="17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5"/>
      <c r="B2" s="45"/>
      <c r="C2" s="45"/>
      <c r="D2" s="45"/>
      <c r="E2" s="45"/>
      <c r="F2" s="45"/>
      <c r="G2" s="45"/>
      <c r="H2" s="45"/>
    </row>
    <row r="3" spans="1:8" ht="13.5" thickBot="1">
      <c r="A3" s="67" t="s">
        <v>0</v>
      </c>
      <c r="B3" s="68" t="s">
        <v>1</v>
      </c>
      <c r="C3" s="69"/>
      <c r="D3" s="45"/>
      <c r="E3" s="45"/>
      <c r="F3" s="45"/>
      <c r="G3" s="45"/>
      <c r="H3" s="45"/>
    </row>
    <row r="4" spans="1:8" ht="13.5" thickBot="1">
      <c r="A4" s="67"/>
      <c r="B4" s="45"/>
      <c r="C4" s="45"/>
      <c r="D4" s="45"/>
      <c r="E4" s="45"/>
      <c r="F4" s="45"/>
      <c r="G4" s="45"/>
      <c r="H4" s="45"/>
    </row>
    <row r="5" spans="1:8" ht="13.5" thickBot="1">
      <c r="A5" s="67" t="s">
        <v>2</v>
      </c>
      <c r="B5" s="68">
        <v>2</v>
      </c>
      <c r="C5" s="69"/>
      <c r="D5" s="45"/>
      <c r="E5" s="45"/>
      <c r="F5" s="45"/>
      <c r="G5" s="45"/>
      <c r="H5" s="45"/>
    </row>
    <row r="6" spans="1:8" ht="13.5" thickBot="1">
      <c r="A6" s="67"/>
      <c r="B6" s="45"/>
      <c r="C6" s="45"/>
      <c r="D6" s="45"/>
      <c r="E6" s="45"/>
      <c r="F6" s="45"/>
      <c r="G6" s="29"/>
      <c r="H6" s="30"/>
    </row>
    <row r="7" spans="1:8" ht="13.5" thickBot="1">
      <c r="A7" s="67" t="s">
        <v>3</v>
      </c>
      <c r="B7" s="68" t="s">
        <v>4</v>
      </c>
      <c r="C7" s="69"/>
      <c r="D7" s="45"/>
      <c r="E7" s="45"/>
      <c r="F7" s="45"/>
      <c r="G7" s="45"/>
      <c r="H7" s="45"/>
    </row>
    <row r="8" spans="1:8">
      <c r="A8" s="67"/>
      <c r="B8" s="45"/>
      <c r="C8" s="45"/>
      <c r="D8" s="45"/>
      <c r="E8" s="45"/>
      <c r="F8" s="45"/>
      <c r="G8" s="45"/>
      <c r="H8" s="45"/>
    </row>
    <row r="10" spans="1:8">
      <c r="A10" s="70" t="s">
        <v>5</v>
      </c>
      <c r="B10" s="71"/>
      <c r="C10" s="71"/>
      <c r="D10" s="71"/>
      <c r="E10" s="71"/>
      <c r="F10" s="71"/>
      <c r="G10" s="70"/>
      <c r="H10" s="45"/>
    </row>
    <row r="11" spans="1:8" ht="13.5" thickBot="1">
      <c r="A11" s="71"/>
      <c r="B11" s="71"/>
      <c r="C11" s="71"/>
      <c r="D11" s="71"/>
      <c r="E11" s="71"/>
      <c r="F11" s="71"/>
      <c r="G11" s="70"/>
      <c r="H11" s="45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5"/>
      <c r="F12" s="33"/>
      <c r="G12" s="45"/>
      <c r="H12" s="45"/>
    </row>
    <row r="13" spans="1:8" ht="18" customHeight="1">
      <c r="A13" s="34" t="s">
        <v>9</v>
      </c>
      <c r="B13" s="72" cm="1">
        <f t="array" ref="B13">IF($B$3="","",_xlfn.XLOOKUP($B$3&amp;$B$7,haList!A:A&amp;haList!I:I,haList!D:D))</f>
        <v>5579</v>
      </c>
      <c r="C13" s="34" t="s">
        <v>9</v>
      </c>
      <c r="D13" s="73" cm="1">
        <f t="array" ref="D13">IF($B$5=1,"",_xlfn.XLOOKUP($B$3&amp;$B$7,haList!A:A&amp;haList!I:I,haList!D:D))</f>
        <v>5579</v>
      </c>
      <c r="E13" s="45"/>
      <c r="F13" s="74"/>
      <c r="G13" s="45"/>
      <c r="H13" s="45"/>
    </row>
    <row r="14" spans="1:8" ht="18" customHeight="1">
      <c r="A14" s="34" t="s">
        <v>10</v>
      </c>
      <c r="B14" s="75" cm="1">
        <f t="array" ref="B14">_xlfn.XLOOKUP($B$3,haList!$A:$A,-haList!$F:$F)</f>
        <v>162.5</v>
      </c>
      <c r="C14" s="34" t="s">
        <v>10</v>
      </c>
      <c r="D14" s="75" cm="1">
        <f t="array" ref="D14">IF(B5=1,"",_xlfn.XLOOKUP($B$3,haList!$A:$A,-haList!$F:$F))</f>
        <v>162.5</v>
      </c>
      <c r="E14" s="74"/>
      <c r="F14" s="74"/>
      <c r="G14" s="45"/>
      <c r="H14" s="45"/>
    </row>
    <row r="15" spans="1:8" ht="18" customHeight="1">
      <c r="A15" s="34" t="s">
        <v>11</v>
      </c>
      <c r="B15" s="72">
        <f>B13+B14</f>
        <v>5741.5</v>
      </c>
      <c r="C15" s="34" t="s">
        <v>11</v>
      </c>
      <c r="D15" s="76">
        <f>IF(B5=1,"",D13+D14)</f>
        <v>5741.5</v>
      </c>
      <c r="E15" s="74"/>
      <c r="F15" s="74"/>
      <c r="G15" s="45"/>
      <c r="H15" s="45"/>
    </row>
    <row r="16" spans="1:8" ht="18" customHeight="1">
      <c r="A16" s="34" t="s">
        <v>12</v>
      </c>
      <c r="B16" s="72" cm="1">
        <f t="array" ref="B16">_xlfn.XLOOKUP($B$3&amp;$B$7,haList!$A:$A&amp;haList!$I:$I,-haList!$J:$J)</f>
        <v>-3405</v>
      </c>
      <c r="C16" s="34" t="s">
        <v>12</v>
      </c>
      <c r="D16" s="72" cm="1">
        <f t="array" ref="D16">IF(B5=1,"",_xlfn.XLOOKUP($B$3&amp;$B$7,haList!$A:$A&amp;haList!$I:$I,-haList!$J:$J))</f>
        <v>-3405</v>
      </c>
      <c r="E16" s="74"/>
      <c r="F16" s="74"/>
      <c r="G16" s="45"/>
      <c r="H16" s="45"/>
    </row>
    <row r="17" spans="1:9" ht="18" customHeight="1">
      <c r="A17" s="34" t="s">
        <v>13</v>
      </c>
      <c r="B17" s="72">
        <f>B15+B16</f>
        <v>2336.5</v>
      </c>
      <c r="C17" s="34" t="s">
        <v>13</v>
      </c>
      <c r="D17" s="76">
        <f>IF(B5=1,"",D15+D16)</f>
        <v>2336.5</v>
      </c>
      <c r="E17" s="74"/>
      <c r="F17" s="74"/>
      <c r="G17" s="45"/>
      <c r="H17" s="45"/>
      <c r="I17" s="45"/>
    </row>
    <row r="18" spans="1:9" ht="18" customHeight="1">
      <c r="A18" s="34" t="s">
        <v>14</v>
      </c>
      <c r="B18" s="72" cm="1">
        <f t="array" ref="B18">IF($B$7="Open House Special",_xlfn.XLOOKUP($B$3&amp;"Marketing Offer",haList!$A:$A&amp;haList!$M:$M,-haList!$N:$N),0)</f>
        <v>0</v>
      </c>
      <c r="C18" s="34" t="s">
        <v>14</v>
      </c>
      <c r="D18" s="72" cm="1">
        <f t="array" ref="D18">IF(B5=1,"",IF($B$7="Open House Special",_xlfn.XLOOKUP($B$3&amp;"Marketing Offer",haList!$A:$A&amp;haList!$M:$M,-haList!$N:$N),0))</f>
        <v>0</v>
      </c>
      <c r="E18" s="74"/>
      <c r="F18" s="74"/>
      <c r="G18" s="45"/>
      <c r="H18" s="45"/>
      <c r="I18" s="45"/>
    </row>
    <row r="19" spans="1:9" ht="18" customHeight="1" thickBot="1">
      <c r="A19" s="35" t="s">
        <v>15</v>
      </c>
      <c r="B19" s="77">
        <f>B17+B18</f>
        <v>2336.5</v>
      </c>
      <c r="C19" s="35" t="s">
        <v>15</v>
      </c>
      <c r="D19" s="78">
        <f>IF(B5=1,"",D17+D18)</f>
        <v>2336.5</v>
      </c>
      <c r="E19" s="74"/>
      <c r="F19" s="74"/>
      <c r="G19" s="45"/>
      <c r="H19" s="45"/>
      <c r="I19" s="45"/>
    </row>
    <row r="20" spans="1:9" ht="18" customHeight="1">
      <c r="A20" s="45"/>
      <c r="B20" s="45"/>
      <c r="C20" s="45"/>
      <c r="D20" s="79"/>
      <c r="E20" s="74"/>
      <c r="F20" s="74"/>
      <c r="G20" s="45"/>
      <c r="H20" s="45"/>
      <c r="I20" s="45"/>
    </row>
    <row r="21" spans="1:9" ht="18" customHeight="1">
      <c r="A21" s="45"/>
      <c r="B21" s="45"/>
      <c r="C21" s="45"/>
      <c r="D21" s="79"/>
      <c r="E21" s="74"/>
      <c r="F21" s="74"/>
      <c r="G21" s="45"/>
      <c r="H21" s="45"/>
      <c r="I21" s="45"/>
    </row>
    <row r="22" spans="1:9" ht="18" customHeight="1">
      <c r="A22" s="45"/>
      <c r="B22" s="67" t="s">
        <v>16</v>
      </c>
      <c r="C22" s="46">
        <f>B19</f>
        <v>2336.5</v>
      </c>
      <c r="D22" s="79"/>
      <c r="E22" s="74"/>
      <c r="F22" s="74"/>
      <c r="G22" s="45"/>
      <c r="H22" s="45"/>
      <c r="I22" s="45"/>
    </row>
    <row r="23" spans="1:9" ht="18" customHeight="1">
      <c r="A23" s="45"/>
      <c r="B23" s="67" t="str">
        <f>IF($B$5=1,"",B22)</f>
        <v>Hearing Aid 1</v>
      </c>
      <c r="C23" s="80">
        <f>IF(B5=2,D19,0)</f>
        <v>2336.5</v>
      </c>
      <c r="D23" s="79"/>
      <c r="E23" s="74"/>
      <c r="F23" s="74"/>
      <c r="G23" s="45"/>
      <c r="H23" s="45"/>
      <c r="I23" s="45"/>
    </row>
    <row r="24" spans="1:9" ht="18" customHeight="1">
      <c r="A24" s="45"/>
      <c r="B24" s="67" t="str" cm="1">
        <f t="array" ref="B24">IF($B$3="","",_xlfn.XLOOKUP($B$3&amp;$B$7,haList!$A:$A&amp;haList!$I:$I,haList!$R:$R))</f>
        <v>Standard Charger</v>
      </c>
      <c r="C24" s="74" cm="1">
        <f t="array" ref="C24">IF($B$24="","",_xlfn.XLOOKUP($B$3&amp;$B$7,haList!$A:$A&amp;haList!$I:$I,haList!$S:$S))</f>
        <v>325</v>
      </c>
      <c r="D24" s="45"/>
      <c r="E24" s="74"/>
      <c r="F24" s="74"/>
      <c r="G24" s="45"/>
      <c r="H24" s="45"/>
      <c r="I24" s="46"/>
    </row>
    <row r="25" spans="1:9" ht="18" customHeight="1">
      <c r="A25" s="45"/>
      <c r="B25" s="67" t="str" cm="1">
        <f t="array" ref="B25">IF($B$3="","",_xlfn.XLOOKUP($B$3&amp;$B$7,haList!$A:$A&amp;haList!$I:$I,haList!$T:$T))</f>
        <v>SureFit3 or M@RIE Receiver</v>
      </c>
      <c r="C25" s="74" cm="1">
        <f t="array" ref="C25">IF($B$24="","",_xlfn.XLOOKUP($B$3&amp;$B$7,haList!$A:$A&amp;haList!$I:$I,haList!$U:$U))</f>
        <v>0</v>
      </c>
      <c r="D25" s="81"/>
      <c r="E25" s="45"/>
      <c r="F25" s="74"/>
      <c r="G25" s="45"/>
      <c r="H25" s="45"/>
      <c r="I25" s="46"/>
    </row>
    <row r="26" spans="1:9" ht="18" customHeight="1">
      <c r="A26" s="45"/>
      <c r="B26" s="67" t="str">
        <f>IF($B$5=1,"",B25)</f>
        <v>SureFit3 or M@RIE Receiver</v>
      </c>
      <c r="C26" s="74">
        <f>IF(B5=2,C25,0)</f>
        <v>0</v>
      </c>
      <c r="D26" s="81"/>
      <c r="E26" s="45"/>
      <c r="F26" s="74"/>
      <c r="G26" s="45"/>
      <c r="H26" s="45"/>
      <c r="I26" s="45"/>
    </row>
    <row r="27" spans="1:9" ht="18" customHeight="1">
      <c r="A27" s="45"/>
      <c r="B27" s="67" t="s">
        <v>17</v>
      </c>
      <c r="C27" s="46">
        <f>C22+C23+C24+C25+C26</f>
        <v>4998</v>
      </c>
      <c r="D27" s="67"/>
      <c r="E27" s="67"/>
      <c r="F27" s="74"/>
      <c r="G27" s="45"/>
      <c r="H27" s="45"/>
      <c r="I27" s="45"/>
    </row>
    <row r="28" spans="1:9" ht="18" customHeight="1">
      <c r="A28" s="45"/>
      <c r="B28" s="67" t="str" cm="1">
        <f t="array" ref="B28">IF($B$3="","",IF(_xlfn.XLOOKUP($B$3&amp;$B$7,haList!$A:$A&amp;haList!$I:$I,haList!$Q:$Q)=1,"PA Fitting Fee","(do not charge a PA Fitting Fee)"))</f>
        <v>PA Fitting Fee</v>
      </c>
      <c r="C28" s="82" cm="1">
        <f t="array" ref="C28">IF($B$3="","",IF(_xlfn.XLOOKUP($B$3&amp;$B$7,haList!$A:$A&amp;haList!$I:$I,haList!$Q:$Q)=1,400,""))</f>
        <v>400</v>
      </c>
      <c r="D28" s="67"/>
      <c r="E28" s="67"/>
      <c r="F28" s="45"/>
      <c r="G28" s="45" t="str">
        <f>IF(B7="Anthem BCBS","&lt;---Needs to be on a separate invoice.  Private Pay only!","")</f>
        <v/>
      </c>
      <c r="H28" s="45"/>
      <c r="I28" s="45"/>
    </row>
    <row r="29" spans="1:9" ht="18" customHeight="1">
      <c r="A29" s="45"/>
      <c r="B29" s="36" t="s">
        <v>18</v>
      </c>
      <c r="C29" s="37">
        <f>C27+C28</f>
        <v>5398</v>
      </c>
      <c r="D29" s="36"/>
      <c r="E29" s="36"/>
      <c r="F29" s="26"/>
      <c r="G29" s="45"/>
      <c r="H29" s="74"/>
      <c r="I29" s="45"/>
    </row>
    <row r="30" spans="1:9" ht="18" customHeight="1">
      <c r="A30" s="66"/>
      <c r="B30" s="66"/>
      <c r="C30" s="66"/>
      <c r="D30" s="36"/>
      <c r="E30" s="36"/>
      <c r="F30" s="26"/>
      <c r="G30" s="45"/>
      <c r="H30" s="45"/>
      <c r="I30" s="45"/>
    </row>
    <row r="31" spans="1:9" ht="18" customHeight="1">
      <c r="A31" s="45"/>
      <c r="B31" s="45"/>
      <c r="C31" s="45"/>
      <c r="D31" s="45"/>
      <c r="E31" s="45"/>
      <c r="F31" s="45"/>
      <c r="G31" s="45"/>
      <c r="H31" s="45"/>
      <c r="I31" s="45"/>
    </row>
    <row r="32" spans="1:9" ht="18" customHeight="1" thickBot="1">
      <c r="A32" s="30"/>
      <c r="B32" s="38" t="s">
        <v>19</v>
      </c>
      <c r="C32" s="45"/>
      <c r="D32" s="45"/>
      <c r="E32" s="45"/>
      <c r="F32" s="45"/>
      <c r="G32" s="45"/>
      <c r="H32" s="45"/>
      <c r="I32" s="45"/>
    </row>
    <row r="33" spans="1:6" ht="18" customHeight="1" thickBot="1">
      <c r="A33" s="83"/>
      <c r="B33" s="84" t="s">
        <v>20</v>
      </c>
      <c r="C33" s="74">
        <f>C29</f>
        <v>5398</v>
      </c>
      <c r="D33" s="45"/>
      <c r="E33" s="45"/>
      <c r="F33" s="45"/>
    </row>
    <row r="34" spans="1:6" ht="18" customHeight="1" thickBot="1">
      <c r="A34" s="36"/>
      <c r="B34" s="67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7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74"/>
      <c r="E34" s="45"/>
      <c r="F34" s="74"/>
    </row>
    <row r="35" spans="1:6" ht="18" customHeight="1" thickBot="1">
      <c r="A35" s="67"/>
      <c r="B35" s="67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5"/>
      <c r="E35" s="45"/>
      <c r="F35" s="45"/>
    </row>
    <row r="36" spans="1:6" ht="18" customHeight="1">
      <c r="A36" s="45"/>
      <c r="B36" s="45"/>
      <c r="C36" s="45"/>
      <c r="D36" s="45"/>
      <c r="E36" s="45"/>
      <c r="F36" s="45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4"/>
  <sheetViews>
    <sheetView tabSelected="1" zoomScaleNormal="100" workbookViewId="0">
      <pane xSplit="1" ySplit="1" topLeftCell="C134" activePane="bottomRight" state="frozen"/>
      <selection pane="bottomRight" activeCell="M182" sqref="M182"/>
      <selection pane="bottomLeft" activeCell="A2" sqref="A2"/>
      <selection pane="topRight" activeCell="B1" sqref="B1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2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41" t="s">
        <v>38</v>
      </c>
      <c r="S1" s="1" t="s">
        <v>39</v>
      </c>
      <c r="T1" s="1" t="s">
        <v>40</v>
      </c>
      <c r="U1" s="3" t="s">
        <v>41</v>
      </c>
      <c r="V1" s="58" t="s">
        <v>42</v>
      </c>
      <c r="Y1" s="16"/>
      <c r="Z1" s="16"/>
      <c r="AA1" s="16"/>
      <c r="AB1"/>
      <c r="AC1"/>
      <c r="AD1"/>
      <c r="AE1"/>
    </row>
    <row r="2" spans="1:31" ht="12.75" hidden="1">
      <c r="A2" s="45" t="s">
        <v>43</v>
      </c>
      <c r="B2" s="45" t="s">
        <v>44</v>
      </c>
      <c r="C2" s="46">
        <f>(HearingAids[[#This Row],[haMSRP]]*2)+HearingAids[[#This Row],[chargerPrice]]</f>
        <v>3718</v>
      </c>
      <c r="D2" s="47">
        <v>1859</v>
      </c>
      <c r="E2" s="47" t="s">
        <v>10</v>
      </c>
      <c r="F2" s="47">
        <f>HearingAids[[#This Row],[haMSRP]]-((HearingAids[[#This Row],[ListPriceBinural]]-HearingAids[[#This Row],[chargerPrice]])/2)</f>
        <v>309</v>
      </c>
      <c r="G2" s="47">
        <f>HearingAids[[#This Row],[haMSRP]]-HearingAids[[#This Row],[Discount Amount 1]]</f>
        <v>1550</v>
      </c>
      <c r="H2" s="53">
        <v>3100</v>
      </c>
      <c r="I2" s="65" t="s">
        <v>45</v>
      </c>
      <c r="J2" s="49">
        <v>0</v>
      </c>
      <c r="K2" s="49">
        <f>HearingAids[[#This Row],[HAListPrice]]-HearingAids[[#This Row],[Discount Amount 2]]</f>
        <v>1550</v>
      </c>
      <c r="L2" s="53"/>
      <c r="M2" s="49"/>
      <c r="N2" s="49"/>
      <c r="O2" s="49"/>
      <c r="P2" s="49"/>
      <c r="Q2" s="50">
        <v>1</v>
      </c>
      <c r="R2" s="49" t="s">
        <v>46</v>
      </c>
      <c r="S2" s="49">
        <v>0</v>
      </c>
      <c r="T2" s="52"/>
      <c r="U2" s="52"/>
      <c r="V2" s="51"/>
      <c r="W2" s="4"/>
      <c r="Y2" s="16"/>
      <c r="Z2" s="16"/>
      <c r="AA2" s="16"/>
      <c r="AB2"/>
      <c r="AC2"/>
      <c r="AD2"/>
      <c r="AE2"/>
    </row>
    <row r="3" spans="1:31" ht="12.75" hidden="1">
      <c r="A3" s="45" t="s">
        <v>47</v>
      </c>
      <c r="B3" s="45" t="s">
        <v>48</v>
      </c>
      <c r="C3" s="46">
        <f>(HearingAids[[#This Row],[haMSRP]]*2)+HearingAids[[#This Row],[chargerPrice]]</f>
        <v>4903</v>
      </c>
      <c r="D3" s="47">
        <v>2339</v>
      </c>
      <c r="E3" s="47" t="s">
        <v>10</v>
      </c>
      <c r="F3" s="47">
        <f>HearingAids[[#This Row],[haMSRP]]-((HearingAids[[#This Row],[ListPriceBinural]]-HearingAids[[#This Row],[chargerPrice]])/2)</f>
        <v>701.5</v>
      </c>
      <c r="G3" s="47">
        <f>HearingAids[[#This Row],[haMSRP]]-HearingAids[[#This Row],[Discount Amount 1]]</f>
        <v>1637.5</v>
      </c>
      <c r="H3" s="53">
        <v>3500</v>
      </c>
      <c r="I3" s="65" t="s">
        <v>45</v>
      </c>
      <c r="J3" s="49">
        <v>0</v>
      </c>
      <c r="K3" s="49">
        <f>HearingAids[[#This Row],[HAListPrice]]-HearingAids[[#This Row],[Discount Amount 2]]</f>
        <v>1637.5</v>
      </c>
      <c r="L3" s="53"/>
      <c r="M3" s="49"/>
      <c r="N3" s="49"/>
      <c r="O3" s="49"/>
      <c r="P3" s="49"/>
      <c r="Q3" s="50">
        <v>1</v>
      </c>
      <c r="R3" s="85" t="s">
        <v>49</v>
      </c>
      <c r="S3" s="49">
        <v>225</v>
      </c>
      <c r="T3" s="52"/>
      <c r="U3" s="52"/>
      <c r="V3" s="51"/>
      <c r="Y3" s="16"/>
      <c r="Z3" s="16"/>
      <c r="AA3" s="16"/>
      <c r="AB3"/>
      <c r="AC3"/>
      <c r="AD3"/>
      <c r="AE3"/>
    </row>
    <row r="4" spans="1:31" ht="12.75" hidden="1">
      <c r="A4" s="45" t="s">
        <v>50</v>
      </c>
      <c r="B4" s="45" t="s">
        <v>51</v>
      </c>
      <c r="C4" s="46">
        <f>(HearingAids[[#This Row],[haMSRP]]*2)+HearingAids[[#This Row],[chargerPrice]]</f>
        <v>6383</v>
      </c>
      <c r="D4" s="47">
        <v>3029</v>
      </c>
      <c r="E4" s="47" t="s">
        <v>10</v>
      </c>
      <c r="F4" s="47">
        <f>HearingAids[[#This Row],[haMSRP]]-((HearingAids[[#This Row],[ListPriceBinural]]-HearingAids[[#This Row],[chargerPrice]])/2)</f>
        <v>666.5</v>
      </c>
      <c r="G4" s="47">
        <f>HearingAids[[#This Row],[haMSRP]]-HearingAids[[#This Row],[Discount Amount 1]]</f>
        <v>2362.5</v>
      </c>
      <c r="H4" s="53">
        <v>5050</v>
      </c>
      <c r="I4" s="65" t="s">
        <v>45</v>
      </c>
      <c r="J4" s="49">
        <v>0</v>
      </c>
      <c r="K4" s="49">
        <f>HearingAids[[#This Row],[HAListPrice]]-HearingAids[[#This Row],[Discount Amount 2]]</f>
        <v>2362.5</v>
      </c>
      <c r="L4" s="53"/>
      <c r="M4" s="49"/>
      <c r="N4" s="49"/>
      <c r="O4" s="49"/>
      <c r="P4" s="49"/>
      <c r="Q4" s="50">
        <v>1</v>
      </c>
      <c r="R4" s="49" t="s">
        <v>52</v>
      </c>
      <c r="S4" s="49">
        <v>325</v>
      </c>
      <c r="T4" s="52"/>
      <c r="U4" s="52"/>
      <c r="V4" s="51"/>
      <c r="Y4" s="16"/>
      <c r="Z4" s="16"/>
      <c r="AA4" s="16"/>
      <c r="AB4"/>
      <c r="AC4"/>
      <c r="AD4"/>
      <c r="AE4"/>
    </row>
    <row r="5" spans="1:31" ht="12.75" hidden="1">
      <c r="A5" s="45" t="s">
        <v>53</v>
      </c>
      <c r="B5" s="45" t="s">
        <v>54</v>
      </c>
      <c r="C5" s="46">
        <f>(HearingAids[[#This Row],[haMSRP]]*2)+HearingAids[[#This Row],[chargerPrice]]</f>
        <v>11963</v>
      </c>
      <c r="D5" s="47">
        <v>5819</v>
      </c>
      <c r="E5" s="47" t="s">
        <v>10</v>
      </c>
      <c r="F5" s="47">
        <f>HearingAids[[#This Row],[haMSRP]]-((HearingAids[[#This Row],[ListPriceBinural]]-HearingAids[[#This Row],[chargerPrice]])/2)</f>
        <v>1256.5</v>
      </c>
      <c r="G5" s="47">
        <f>HearingAids[[#This Row],[haMSRP]]-HearingAids[[#This Row],[Discount Amount 1]]</f>
        <v>4562.5</v>
      </c>
      <c r="H5" s="53">
        <v>9450</v>
      </c>
      <c r="I5" s="65" t="s">
        <v>45</v>
      </c>
      <c r="J5" s="49">
        <v>0</v>
      </c>
      <c r="K5" s="49">
        <f>HearingAids[[#This Row],[HAListPrice]]-HearingAids[[#This Row],[Discount Amount 2]]</f>
        <v>4562.5</v>
      </c>
      <c r="L5" s="53"/>
      <c r="M5" s="49"/>
      <c r="N5" s="49"/>
      <c r="O5" s="49"/>
      <c r="P5" s="49"/>
      <c r="Q5" s="50">
        <v>1</v>
      </c>
      <c r="R5" s="49" t="s">
        <v>52</v>
      </c>
      <c r="S5" s="49">
        <v>325</v>
      </c>
      <c r="T5" s="51" t="s">
        <v>55</v>
      </c>
      <c r="U5" s="52">
        <v>0</v>
      </c>
      <c r="V5" s="51" t="s">
        <v>56</v>
      </c>
      <c r="Y5" s="16"/>
      <c r="Z5" s="16"/>
      <c r="AA5" s="16"/>
      <c r="AB5"/>
      <c r="AC5"/>
      <c r="AD5"/>
      <c r="AE5"/>
    </row>
    <row r="6" spans="1:31" ht="12.75" hidden="1">
      <c r="A6" s="45" t="s">
        <v>57</v>
      </c>
      <c r="B6" s="45" t="s">
        <v>58</v>
      </c>
      <c r="C6" s="46">
        <f>(HearingAids[[#This Row],[haMSRP]]*2)+HearingAids[[#This Row],[chargerPrice]]</f>
        <v>7703</v>
      </c>
      <c r="D6" s="47">
        <v>3689</v>
      </c>
      <c r="E6" s="47" t="s">
        <v>10</v>
      </c>
      <c r="F6" s="47">
        <f>HearingAids[[#This Row],[haMSRP]]-((HearingAids[[#This Row],[ListPriceBinural]]-HearingAids[[#This Row],[chargerPrice]])/2)</f>
        <v>326.5</v>
      </c>
      <c r="G6" s="47">
        <f>HearingAids[[#This Row],[haMSRP]]-HearingAids[[#This Row],[Discount Amount 1]]</f>
        <v>3362.5</v>
      </c>
      <c r="H6" s="53">
        <v>7050</v>
      </c>
      <c r="I6" s="65" t="s">
        <v>45</v>
      </c>
      <c r="J6" s="49">
        <v>0</v>
      </c>
      <c r="K6" s="49">
        <f>HearingAids[[#This Row],[HAListPrice]]-HearingAids[[#This Row],[Discount Amount 2]]</f>
        <v>3362.5</v>
      </c>
      <c r="L6" s="53"/>
      <c r="M6" s="49"/>
      <c r="N6" s="49"/>
      <c r="O6" s="49"/>
      <c r="P6" s="49"/>
      <c r="Q6" s="50">
        <v>1</v>
      </c>
      <c r="R6" s="49" t="s">
        <v>52</v>
      </c>
      <c r="S6" s="49">
        <v>325</v>
      </c>
      <c r="T6" s="51" t="s">
        <v>55</v>
      </c>
      <c r="U6" s="52">
        <v>0</v>
      </c>
      <c r="V6" s="51" t="s">
        <v>56</v>
      </c>
      <c r="W6" s="49"/>
      <c r="Y6" s="16"/>
      <c r="Z6" s="16"/>
      <c r="AA6" s="16"/>
      <c r="AB6"/>
      <c r="AC6"/>
      <c r="AD6"/>
      <c r="AE6"/>
    </row>
    <row r="7" spans="1:31" ht="12.75" hidden="1">
      <c r="A7" s="45" t="s">
        <v>59</v>
      </c>
      <c r="B7" s="45" t="s">
        <v>60</v>
      </c>
      <c r="C7" s="46">
        <f>(HearingAids[[#This Row],[haMSRP]]*2)+HearingAids[[#This Row],[chargerPrice]]</f>
        <v>9683</v>
      </c>
      <c r="D7" s="47">
        <v>4679</v>
      </c>
      <c r="E7" s="47" t="s">
        <v>10</v>
      </c>
      <c r="F7" s="47">
        <f>HearingAids[[#This Row],[haMSRP]]-((HearingAids[[#This Row],[ListPriceBinural]]-HearingAids[[#This Row],[chargerPrice]])/2)</f>
        <v>666.5</v>
      </c>
      <c r="G7" s="47">
        <f>HearingAids[[#This Row],[haMSRP]]-HearingAids[[#This Row],[Discount Amount 1]]</f>
        <v>4012.5</v>
      </c>
      <c r="H7" s="53">
        <v>8350</v>
      </c>
      <c r="I7" s="65" t="s">
        <v>45</v>
      </c>
      <c r="J7" s="49">
        <v>0</v>
      </c>
      <c r="K7" s="49">
        <f>HearingAids[[#This Row],[HAListPrice]]-HearingAids[[#This Row],[Discount Amount 2]]</f>
        <v>4012.5</v>
      </c>
      <c r="L7" s="53"/>
      <c r="M7" s="49"/>
      <c r="N7" s="49"/>
      <c r="O7" s="49"/>
      <c r="P7" s="49"/>
      <c r="Q7" s="50">
        <v>1</v>
      </c>
      <c r="R7" s="49" t="s">
        <v>52</v>
      </c>
      <c r="S7" s="49">
        <v>325</v>
      </c>
      <c r="T7" s="51" t="s">
        <v>55</v>
      </c>
      <c r="U7" s="52">
        <v>0</v>
      </c>
      <c r="V7" s="51" t="s">
        <v>56</v>
      </c>
      <c r="W7" s="49"/>
      <c r="Y7" s="16"/>
      <c r="Z7" s="16"/>
      <c r="AA7" s="16"/>
      <c r="AB7"/>
      <c r="AC7"/>
      <c r="AD7"/>
      <c r="AE7"/>
    </row>
    <row r="8" spans="1:31" ht="12.75" hidden="1">
      <c r="A8" s="45" t="s">
        <v>61</v>
      </c>
      <c r="B8" s="45" t="s">
        <v>62</v>
      </c>
      <c r="C8" s="46">
        <f>(HearingAids[[#This Row],[haMSRP]]*2)+HearingAids[[#This Row],[chargerPrice]]</f>
        <v>3920</v>
      </c>
      <c r="D8" s="47">
        <v>1960</v>
      </c>
      <c r="E8" s="47" t="s">
        <v>10</v>
      </c>
      <c r="F8" s="47">
        <f>HearingAids[[#This Row],[haMSRP]]-((HearingAids[[#This Row],[ListPriceBinural]]-HearingAids[[#This Row],[chargerPrice]])/2)</f>
        <v>410</v>
      </c>
      <c r="G8" s="47">
        <f>HearingAids[[#This Row],[haMSRP]]-HearingAids[[#This Row],[Discount Amount 1]]</f>
        <v>1550</v>
      </c>
      <c r="H8" s="53">
        <v>3100</v>
      </c>
      <c r="I8" s="65" t="s">
        <v>45</v>
      </c>
      <c r="J8" s="49">
        <v>0</v>
      </c>
      <c r="K8" s="49">
        <f>HearingAids[[#This Row],[HAListPrice]]-HearingAids[[#This Row],[Discount Amount 2]]</f>
        <v>1550</v>
      </c>
      <c r="L8" s="53"/>
      <c r="M8" s="49"/>
      <c r="N8" s="49"/>
      <c r="O8" s="49"/>
      <c r="P8" s="49"/>
      <c r="Q8" s="50">
        <v>1</v>
      </c>
      <c r="R8" s="49" t="s">
        <v>46</v>
      </c>
      <c r="S8" s="49">
        <v>0</v>
      </c>
      <c r="T8" s="52" t="s">
        <v>63</v>
      </c>
      <c r="U8" s="4">
        <v>0</v>
      </c>
      <c r="V8" s="59" t="s">
        <v>56</v>
      </c>
      <c r="Y8" s="16"/>
      <c r="Z8" s="16"/>
      <c r="AA8" s="16"/>
      <c r="AB8"/>
      <c r="AC8"/>
      <c r="AD8"/>
      <c r="AE8"/>
    </row>
    <row r="9" spans="1:31" ht="12.75" hidden="1">
      <c r="A9" s="45" t="s">
        <v>64</v>
      </c>
      <c r="B9" s="45" t="s">
        <v>65</v>
      </c>
      <c r="C9" s="46">
        <f>(HearingAids[[#This Row],[haMSRP]]*2)+HearingAids[[#This Row],[chargerPrice]]</f>
        <v>3920</v>
      </c>
      <c r="D9" s="47">
        <v>1960</v>
      </c>
      <c r="E9" s="47" t="s">
        <v>10</v>
      </c>
      <c r="F9" s="47">
        <f>HearingAids[[#This Row],[haMSRP]]-((HearingAids[[#This Row],[ListPriceBinural]]-HearingAids[[#This Row],[chargerPrice]])/2)</f>
        <v>410</v>
      </c>
      <c r="G9" s="47">
        <f>HearingAids[[#This Row],[haMSRP]]-HearingAids[[#This Row],[Discount Amount 1]]</f>
        <v>1550</v>
      </c>
      <c r="H9" s="53">
        <v>3100</v>
      </c>
      <c r="I9" s="65" t="s">
        <v>45</v>
      </c>
      <c r="J9" s="49">
        <v>0</v>
      </c>
      <c r="K9" s="49">
        <f>HearingAids[[#This Row],[HAListPrice]]-HearingAids[[#This Row],[Discount Amount 2]]</f>
        <v>1550</v>
      </c>
      <c r="L9" s="53"/>
      <c r="M9" s="49"/>
      <c r="N9" s="49"/>
      <c r="O9" s="49"/>
      <c r="P9" s="49"/>
      <c r="Q9" s="50">
        <v>1</v>
      </c>
      <c r="R9" s="49" t="s">
        <v>46</v>
      </c>
      <c r="S9" s="49">
        <v>0</v>
      </c>
      <c r="T9" s="52" t="s">
        <v>63</v>
      </c>
      <c r="U9" s="4">
        <v>0</v>
      </c>
      <c r="V9" s="59" t="s">
        <v>56</v>
      </c>
      <c r="Y9" s="16"/>
      <c r="Z9" s="16"/>
      <c r="AA9" s="16"/>
      <c r="AB9"/>
      <c r="AC9"/>
      <c r="AD9"/>
      <c r="AE9"/>
    </row>
    <row r="10" spans="1:31" ht="12.75" hidden="1">
      <c r="A10" s="45" t="s">
        <v>66</v>
      </c>
      <c r="B10" s="45" t="s">
        <v>67</v>
      </c>
      <c r="C10" s="46">
        <f>(HearingAids[[#This Row],[haMSRP]]*2)+HearingAids[[#This Row],[chargerPrice]]</f>
        <v>3920</v>
      </c>
      <c r="D10" s="47">
        <v>1960</v>
      </c>
      <c r="E10" s="47" t="s">
        <v>10</v>
      </c>
      <c r="F10" s="47">
        <f>HearingAids[[#This Row],[haMSRP]]-((HearingAids[[#This Row],[ListPriceBinural]]-HearingAids[[#This Row],[chargerPrice]])/2)</f>
        <v>410</v>
      </c>
      <c r="G10" s="47">
        <f>HearingAids[[#This Row],[haMSRP]]-HearingAids[[#This Row],[Discount Amount 1]]</f>
        <v>1550</v>
      </c>
      <c r="H10" s="53">
        <v>3100</v>
      </c>
      <c r="I10" s="65" t="s">
        <v>45</v>
      </c>
      <c r="J10" s="49">
        <v>0</v>
      </c>
      <c r="K10" s="49">
        <f>HearingAids[[#This Row],[HAListPrice]]-HearingAids[[#This Row],[Discount Amount 2]]</f>
        <v>1550</v>
      </c>
      <c r="L10" s="53"/>
      <c r="M10" s="49"/>
      <c r="N10" s="49"/>
      <c r="O10" s="49"/>
      <c r="P10" s="49"/>
      <c r="Q10" s="50">
        <v>1</v>
      </c>
      <c r="R10" s="49" t="s">
        <v>46</v>
      </c>
      <c r="S10" s="49">
        <v>0</v>
      </c>
      <c r="T10" s="52" t="s">
        <v>68</v>
      </c>
      <c r="U10" s="4">
        <v>0</v>
      </c>
      <c r="V10" s="52" t="s">
        <v>69</v>
      </c>
      <c r="Y10" s="16"/>
      <c r="Z10" s="16"/>
      <c r="AA10" s="16"/>
      <c r="AB10"/>
      <c r="AC10"/>
      <c r="AD10"/>
      <c r="AE10"/>
    </row>
    <row r="11" spans="1:31" ht="12.75" hidden="1">
      <c r="A11" s="45" t="s">
        <v>70</v>
      </c>
      <c r="B11" s="45" t="s">
        <v>71</v>
      </c>
      <c r="C11" s="46">
        <f>(HearingAids[[#This Row],[haMSRP]]*2)+HearingAids[[#This Row],[chargerPrice]]</f>
        <v>3920</v>
      </c>
      <c r="D11" s="47">
        <v>1960</v>
      </c>
      <c r="E11" s="47" t="s">
        <v>10</v>
      </c>
      <c r="F11" s="47">
        <f>HearingAids[[#This Row],[haMSRP]]-((HearingAids[[#This Row],[ListPriceBinural]]-HearingAids[[#This Row],[chargerPrice]])/2)</f>
        <v>410</v>
      </c>
      <c r="G11" s="47">
        <f>HearingAids[[#This Row],[haMSRP]]-HearingAids[[#This Row],[Discount Amount 1]]</f>
        <v>1550</v>
      </c>
      <c r="H11" s="53">
        <v>3100</v>
      </c>
      <c r="I11" s="65" t="s">
        <v>45</v>
      </c>
      <c r="J11" s="49">
        <v>0</v>
      </c>
      <c r="K11" s="49">
        <f>HearingAids[[#This Row],[HAListPrice]]-HearingAids[[#This Row],[Discount Amount 2]]</f>
        <v>1550</v>
      </c>
      <c r="L11" s="53"/>
      <c r="M11" s="49"/>
      <c r="N11" s="49"/>
      <c r="O11" s="49"/>
      <c r="P11" s="49"/>
      <c r="Q11" s="50">
        <v>1</v>
      </c>
      <c r="R11" s="49" t="s">
        <v>46</v>
      </c>
      <c r="S11" s="49">
        <v>0</v>
      </c>
      <c r="T11" s="52" t="s">
        <v>68</v>
      </c>
      <c r="U11" s="4">
        <v>0</v>
      </c>
      <c r="V11" s="52" t="s">
        <v>69</v>
      </c>
      <c r="Y11" s="16"/>
      <c r="Z11" s="16"/>
      <c r="AA11" s="16"/>
      <c r="AB11"/>
      <c r="AC11"/>
      <c r="AD11"/>
      <c r="AE11"/>
    </row>
    <row r="12" spans="1:31" ht="12.75" hidden="1">
      <c r="A12" s="45" t="s">
        <v>72</v>
      </c>
      <c r="B12" s="45" t="s">
        <v>73</v>
      </c>
      <c r="C12" s="46">
        <f>(HearingAids[[#This Row],[haMSRP]]*2)+HearingAids[[#This Row],[chargerPrice]]</f>
        <v>3920</v>
      </c>
      <c r="D12" s="47">
        <v>1960</v>
      </c>
      <c r="E12" s="47" t="s">
        <v>10</v>
      </c>
      <c r="F12" s="47">
        <f>HearingAids[[#This Row],[haMSRP]]-((HearingAids[[#This Row],[ListPriceBinural]]-HearingAids[[#This Row],[chargerPrice]])/2)</f>
        <v>410</v>
      </c>
      <c r="G12" s="47">
        <f>HearingAids[[#This Row],[haMSRP]]-HearingAids[[#This Row],[Discount Amount 1]]</f>
        <v>1550</v>
      </c>
      <c r="H12" s="53">
        <v>3100</v>
      </c>
      <c r="I12" s="65" t="s">
        <v>45</v>
      </c>
      <c r="J12" s="49">
        <v>0</v>
      </c>
      <c r="K12" s="49">
        <f>HearingAids[[#This Row],[HAListPrice]]-HearingAids[[#This Row],[Discount Amount 2]]</f>
        <v>1550</v>
      </c>
      <c r="L12" s="53"/>
      <c r="M12" s="49"/>
      <c r="N12" s="49"/>
      <c r="O12" s="49"/>
      <c r="P12" s="49"/>
      <c r="Q12" s="50">
        <v>1</v>
      </c>
      <c r="R12" s="49" t="s">
        <v>46</v>
      </c>
      <c r="S12" s="49">
        <v>0</v>
      </c>
      <c r="T12" s="52" t="s">
        <v>74</v>
      </c>
      <c r="U12" s="4">
        <v>0</v>
      </c>
      <c r="V12" s="59" t="s">
        <v>56</v>
      </c>
      <c r="Y12" s="16"/>
      <c r="Z12" s="16"/>
      <c r="AA12" s="16"/>
      <c r="AB12"/>
      <c r="AC12"/>
      <c r="AD12"/>
      <c r="AE12"/>
    </row>
    <row r="13" spans="1:31" ht="12.75" hidden="1">
      <c r="A13" s="45" t="s">
        <v>75</v>
      </c>
      <c r="B13" s="45" t="s">
        <v>76</v>
      </c>
      <c r="C13" s="46">
        <f>(HearingAids[[#This Row],[haMSRP]]*2)+HearingAids[[#This Row],[chargerPrice]]</f>
        <v>3920</v>
      </c>
      <c r="D13" s="47">
        <v>1960</v>
      </c>
      <c r="E13" s="47" t="s">
        <v>10</v>
      </c>
      <c r="F13" s="47">
        <f>HearingAids[[#This Row],[haMSRP]]-((HearingAids[[#This Row],[ListPriceBinural]]-HearingAids[[#This Row],[chargerPrice]])/2)</f>
        <v>410</v>
      </c>
      <c r="G13" s="47">
        <f>HearingAids[[#This Row],[haMSRP]]-HearingAids[[#This Row],[Discount Amount 1]]</f>
        <v>1550</v>
      </c>
      <c r="H13" s="53">
        <v>3100</v>
      </c>
      <c r="I13" s="65" t="s">
        <v>45</v>
      </c>
      <c r="J13" s="49">
        <v>0</v>
      </c>
      <c r="K13" s="49">
        <f>HearingAids[[#This Row],[HAListPrice]]-HearingAids[[#This Row],[Discount Amount 2]]</f>
        <v>1550</v>
      </c>
      <c r="L13" s="53"/>
      <c r="M13" s="49"/>
      <c r="N13" s="49"/>
      <c r="O13" s="49"/>
      <c r="P13" s="49"/>
      <c r="Q13" s="50">
        <v>1</v>
      </c>
      <c r="R13" s="49" t="s">
        <v>46</v>
      </c>
      <c r="S13" s="49">
        <v>0</v>
      </c>
      <c r="T13" s="52" t="s">
        <v>74</v>
      </c>
      <c r="U13" s="4">
        <v>0</v>
      </c>
      <c r="V13" s="59" t="s">
        <v>56</v>
      </c>
      <c r="Y13" s="16"/>
      <c r="Z13" s="16"/>
      <c r="AA13" s="16"/>
      <c r="AB13"/>
      <c r="AC13"/>
      <c r="AD13"/>
      <c r="AE13"/>
    </row>
    <row r="14" spans="1:31" ht="12.75" hidden="1">
      <c r="A14" s="45" t="s">
        <v>77</v>
      </c>
      <c r="B14" s="45" t="s">
        <v>78</v>
      </c>
      <c r="C14" s="46">
        <f>(HearingAids[[#This Row],[haMSRP]]*2)+HearingAids[[#This Row],[chargerPrice]]</f>
        <v>3920</v>
      </c>
      <c r="D14" s="47">
        <v>1960</v>
      </c>
      <c r="E14" s="47" t="s">
        <v>10</v>
      </c>
      <c r="F14" s="47">
        <f>HearingAids[[#This Row],[haMSRP]]-((HearingAids[[#This Row],[ListPriceBinural]]-HearingAids[[#This Row],[chargerPrice]])/2)</f>
        <v>410</v>
      </c>
      <c r="G14" s="47">
        <f>HearingAids[[#This Row],[haMSRP]]-HearingAids[[#This Row],[Discount Amount 1]]</f>
        <v>1550</v>
      </c>
      <c r="H14" s="53">
        <v>3100</v>
      </c>
      <c r="I14" s="65" t="s">
        <v>45</v>
      </c>
      <c r="J14" s="49">
        <v>0</v>
      </c>
      <c r="K14" s="49">
        <f>HearingAids[[#This Row],[HAListPrice]]-HearingAids[[#This Row],[Discount Amount 2]]</f>
        <v>1550</v>
      </c>
      <c r="L14" s="53"/>
      <c r="M14" s="49"/>
      <c r="N14" s="49"/>
      <c r="O14" s="49"/>
      <c r="P14" s="49"/>
      <c r="Q14" s="50">
        <v>1</v>
      </c>
      <c r="R14" s="49" t="s">
        <v>46</v>
      </c>
      <c r="S14" s="49">
        <v>0</v>
      </c>
      <c r="T14" s="52" t="s">
        <v>79</v>
      </c>
      <c r="U14" s="4">
        <v>0</v>
      </c>
      <c r="V14" s="52"/>
      <c r="Y14" s="16"/>
      <c r="Z14" s="16"/>
      <c r="AA14" s="16"/>
      <c r="AB14"/>
      <c r="AC14"/>
      <c r="AD14"/>
      <c r="AE14"/>
    </row>
    <row r="15" spans="1:31" ht="12.75" hidden="1">
      <c r="A15" s="45" t="s">
        <v>80</v>
      </c>
      <c r="B15" s="45" t="s">
        <v>81</v>
      </c>
      <c r="C15" s="46">
        <f>(HearingAids[[#This Row],[haMSRP]]*2)+HearingAids[[#This Row],[chargerPrice]]</f>
        <v>3920</v>
      </c>
      <c r="D15" s="47">
        <v>1960</v>
      </c>
      <c r="E15" s="47" t="s">
        <v>10</v>
      </c>
      <c r="F15" s="47">
        <f>HearingAids[[#This Row],[haMSRP]]-((HearingAids[[#This Row],[ListPriceBinural]]-HearingAids[[#This Row],[chargerPrice]])/2)</f>
        <v>410</v>
      </c>
      <c r="G15" s="47">
        <f>HearingAids[[#This Row],[haMSRP]]-HearingAids[[#This Row],[Discount Amount 1]]</f>
        <v>1550</v>
      </c>
      <c r="H15" s="53">
        <v>3100</v>
      </c>
      <c r="I15" s="65" t="s">
        <v>45</v>
      </c>
      <c r="J15" s="49">
        <v>0</v>
      </c>
      <c r="K15" s="49">
        <f>HearingAids[[#This Row],[HAListPrice]]-HearingAids[[#This Row],[Discount Amount 2]]</f>
        <v>1550</v>
      </c>
      <c r="L15" s="53"/>
      <c r="M15" s="49"/>
      <c r="N15" s="49"/>
      <c r="O15" s="49"/>
      <c r="P15" s="49"/>
      <c r="Q15" s="50">
        <v>1</v>
      </c>
      <c r="R15" s="49" t="s">
        <v>46</v>
      </c>
      <c r="S15" s="49">
        <v>0</v>
      </c>
      <c r="T15" s="52" t="s">
        <v>79</v>
      </c>
      <c r="U15" s="4">
        <v>0</v>
      </c>
      <c r="V15" s="52"/>
      <c r="W15" s="4"/>
      <c r="Y15" s="16"/>
      <c r="Z15" s="16"/>
      <c r="AA15" s="16"/>
      <c r="AB15" s="15"/>
      <c r="AC15" s="15"/>
      <c r="AD15"/>
      <c r="AE15"/>
    </row>
    <row r="16" spans="1:31" ht="12.75" hidden="1">
      <c r="A16" s="45" t="s">
        <v>82</v>
      </c>
      <c r="B16" s="45" t="s">
        <v>83</v>
      </c>
      <c r="C16" s="46">
        <f>(HearingAids[[#This Row],[haMSRP]]*2)+HearingAids[[#This Row],[chargerPrice]]</f>
        <v>4690</v>
      </c>
      <c r="D16" s="47">
        <v>2345</v>
      </c>
      <c r="E16" s="47" t="s">
        <v>10</v>
      </c>
      <c r="F16" s="47">
        <f>HearingAids[[#This Row],[haMSRP]]-((HearingAids[[#This Row],[ListPriceBinural]]-HearingAids[[#This Row],[chargerPrice]])/2)</f>
        <v>595</v>
      </c>
      <c r="G16" s="47">
        <f>HearingAids[[#This Row],[haMSRP]]-HearingAids[[#This Row],[Discount Amount 1]]</f>
        <v>1750</v>
      </c>
      <c r="H16" s="53">
        <v>3500</v>
      </c>
      <c r="I16" s="65" t="s">
        <v>45</v>
      </c>
      <c r="J16" s="49">
        <v>0</v>
      </c>
      <c r="K16" s="49">
        <f>HearingAids[[#This Row],[HAListPrice]]-HearingAids[[#This Row],[Discount Amount 2]]</f>
        <v>1750</v>
      </c>
      <c r="L16" s="53"/>
      <c r="M16" s="49"/>
      <c r="N16" s="49"/>
      <c r="O16" s="49"/>
      <c r="P16" s="49"/>
      <c r="Q16" s="50">
        <v>1</v>
      </c>
      <c r="R16" s="49" t="s">
        <v>46</v>
      </c>
      <c r="S16" s="49">
        <v>0</v>
      </c>
      <c r="T16" s="52" t="s">
        <v>63</v>
      </c>
      <c r="U16" s="4">
        <v>0</v>
      </c>
      <c r="V16" s="59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2.75" hidden="1">
      <c r="A17" s="45" t="s">
        <v>84</v>
      </c>
      <c r="B17" s="45" t="s">
        <v>85</v>
      </c>
      <c r="C17" s="46">
        <f>(HearingAids[[#This Row],[haMSRP]]*2)+HearingAids[[#This Row],[chargerPrice]]</f>
        <v>4915</v>
      </c>
      <c r="D17" s="86">
        <v>2345</v>
      </c>
      <c r="E17" s="47" t="s">
        <v>10</v>
      </c>
      <c r="F17" s="47">
        <f>HearingAids[[#This Row],[haMSRP]]-((HearingAids[[#This Row],[ListPriceBinural]]-HearingAids[[#This Row],[chargerPrice]])/2)</f>
        <v>707.5</v>
      </c>
      <c r="G17" s="47">
        <f>HearingAids[[#This Row],[haMSRP]]-HearingAids[[#This Row],[Discount Amount 1]]</f>
        <v>1637.5</v>
      </c>
      <c r="H17" s="53">
        <v>3500</v>
      </c>
      <c r="I17" s="65" t="s">
        <v>45</v>
      </c>
      <c r="J17" s="49">
        <v>0</v>
      </c>
      <c r="K17" s="49">
        <f>HearingAids[[#This Row],[HAListPrice]]-HearingAids[[#This Row],[Discount Amount 2]]</f>
        <v>1637.5</v>
      </c>
      <c r="L17" s="53"/>
      <c r="M17" s="49"/>
      <c r="N17" s="49"/>
      <c r="O17" s="49"/>
      <c r="P17" s="49"/>
      <c r="Q17" s="87">
        <v>1</v>
      </c>
      <c r="R17" s="88" t="s">
        <v>49</v>
      </c>
      <c r="S17" s="86">
        <v>225</v>
      </c>
      <c r="T17" s="89" t="s">
        <v>63</v>
      </c>
      <c r="U17" s="16">
        <v>0</v>
      </c>
      <c r="V17" s="60" t="s">
        <v>56</v>
      </c>
      <c r="Y17" s="16"/>
      <c r="Z17" s="16"/>
      <c r="AA17" s="16"/>
      <c r="AB17"/>
      <c r="AC17" s="15"/>
      <c r="AD17"/>
      <c r="AE17"/>
    </row>
    <row r="18" spans="1:31" ht="12.75" hidden="1">
      <c r="A18" s="45" t="s">
        <v>86</v>
      </c>
      <c r="B18" s="45" t="s">
        <v>87</v>
      </c>
      <c r="C18" s="46">
        <f>(HearingAids[[#This Row],[haMSRP]]*2)+HearingAids[[#This Row],[chargerPrice]]</f>
        <v>4690</v>
      </c>
      <c r="D18" s="47">
        <v>2345</v>
      </c>
      <c r="E18" s="47" t="s">
        <v>10</v>
      </c>
      <c r="F18" s="47">
        <f>HearingAids[[#This Row],[haMSRP]]-((HearingAids[[#This Row],[ListPriceBinural]]-HearingAids[[#This Row],[chargerPrice]])/2)</f>
        <v>595</v>
      </c>
      <c r="G18" s="47">
        <f>HearingAids[[#This Row],[haMSRP]]-HearingAids[[#This Row],[Discount Amount 1]]</f>
        <v>1750</v>
      </c>
      <c r="H18" s="53">
        <v>3500</v>
      </c>
      <c r="I18" s="65" t="s">
        <v>45</v>
      </c>
      <c r="J18" s="49">
        <v>0</v>
      </c>
      <c r="K18" s="49">
        <f>HearingAids[[#This Row],[HAListPrice]]-HearingAids[[#This Row],[Discount Amount 2]]</f>
        <v>1750</v>
      </c>
      <c r="L18" s="53"/>
      <c r="M18" s="49"/>
      <c r="N18" s="49"/>
      <c r="O18" s="49"/>
      <c r="P18" s="49"/>
      <c r="Q18" s="50">
        <v>1</v>
      </c>
      <c r="R18" s="49" t="s">
        <v>46</v>
      </c>
      <c r="S18" s="49">
        <v>0</v>
      </c>
      <c r="T18" s="52" t="s">
        <v>63</v>
      </c>
      <c r="U18" s="4">
        <v>0</v>
      </c>
      <c r="V18" s="59" t="s">
        <v>56</v>
      </c>
      <c r="Y18" s="16"/>
      <c r="Z18" s="16"/>
      <c r="AA18" s="16"/>
      <c r="AB18"/>
      <c r="AC18" s="15"/>
      <c r="AD18"/>
      <c r="AE18"/>
    </row>
    <row r="19" spans="1:31" ht="12.75" hidden="1">
      <c r="A19" s="45" t="s">
        <v>88</v>
      </c>
      <c r="B19" s="45" t="s">
        <v>89</v>
      </c>
      <c r="C19" s="46">
        <f>(HearingAids[[#This Row],[haMSRP]]*2)+HearingAids[[#This Row],[chargerPrice]]</f>
        <v>4690</v>
      </c>
      <c r="D19" s="47">
        <v>2345</v>
      </c>
      <c r="E19" s="47" t="s">
        <v>10</v>
      </c>
      <c r="F19" s="47">
        <f>HearingAids[[#This Row],[haMSRP]]-((HearingAids[[#This Row],[ListPriceBinural]]-HearingAids[[#This Row],[chargerPrice]])/2)</f>
        <v>595</v>
      </c>
      <c r="G19" s="47">
        <f>HearingAids[[#This Row],[haMSRP]]-HearingAids[[#This Row],[Discount Amount 1]]</f>
        <v>1750</v>
      </c>
      <c r="H19" s="53">
        <v>3500</v>
      </c>
      <c r="I19" s="65" t="s">
        <v>45</v>
      </c>
      <c r="J19" s="49">
        <v>0</v>
      </c>
      <c r="K19" s="49">
        <f>HearingAids[[#This Row],[HAListPrice]]-HearingAids[[#This Row],[Discount Amount 2]]</f>
        <v>1750</v>
      </c>
      <c r="L19" s="53"/>
      <c r="M19" s="49"/>
      <c r="N19" s="49"/>
      <c r="O19" s="49"/>
      <c r="P19" s="49"/>
      <c r="Q19" s="50">
        <v>1</v>
      </c>
      <c r="R19" s="49" t="s">
        <v>46</v>
      </c>
      <c r="S19" s="49">
        <v>0</v>
      </c>
      <c r="T19" s="52" t="s">
        <v>68</v>
      </c>
      <c r="U19" s="4">
        <v>0</v>
      </c>
      <c r="V19" s="52" t="s">
        <v>69</v>
      </c>
      <c r="Y19" s="16"/>
      <c r="Z19" s="16"/>
      <c r="AA19" s="16"/>
      <c r="AB19"/>
      <c r="AC19"/>
      <c r="AD19"/>
      <c r="AE19"/>
    </row>
    <row r="20" spans="1:31" ht="12.75" hidden="1">
      <c r="A20" s="45" t="s">
        <v>90</v>
      </c>
      <c r="B20" s="45" t="s">
        <v>91</v>
      </c>
      <c r="C20" s="46">
        <f>(HearingAids[[#This Row],[haMSRP]]*2)+HearingAids[[#This Row],[chargerPrice]]</f>
        <v>4690</v>
      </c>
      <c r="D20" s="47">
        <v>2345</v>
      </c>
      <c r="E20" s="47" t="s">
        <v>10</v>
      </c>
      <c r="F20" s="47">
        <f>HearingAids[[#This Row],[haMSRP]]-((HearingAids[[#This Row],[ListPriceBinural]]-HearingAids[[#This Row],[chargerPrice]])/2)</f>
        <v>595</v>
      </c>
      <c r="G20" s="47">
        <f>HearingAids[[#This Row],[haMSRP]]-HearingAids[[#This Row],[Discount Amount 1]]</f>
        <v>1750</v>
      </c>
      <c r="H20" s="53">
        <v>3500</v>
      </c>
      <c r="I20" s="65" t="s">
        <v>45</v>
      </c>
      <c r="J20" s="49">
        <v>0</v>
      </c>
      <c r="K20" s="49">
        <f>HearingAids[[#This Row],[HAListPrice]]-HearingAids[[#This Row],[Discount Amount 2]]</f>
        <v>1750</v>
      </c>
      <c r="L20" s="53"/>
      <c r="M20" s="49"/>
      <c r="N20" s="49"/>
      <c r="O20" s="49"/>
      <c r="P20" s="49"/>
      <c r="Q20" s="50">
        <v>1</v>
      </c>
      <c r="R20" s="49" t="s">
        <v>46</v>
      </c>
      <c r="S20" s="49">
        <v>0</v>
      </c>
      <c r="T20" s="52" t="s">
        <v>68</v>
      </c>
      <c r="U20" s="4">
        <v>0</v>
      </c>
      <c r="V20" s="52" t="s">
        <v>69</v>
      </c>
      <c r="Y20" s="16"/>
      <c r="Z20" s="16"/>
      <c r="AA20" s="16"/>
      <c r="AB20"/>
      <c r="AC20"/>
      <c r="AD20"/>
      <c r="AE20"/>
    </row>
    <row r="21" spans="1:31" ht="12.75" hidden="1">
      <c r="A21" s="45" t="s">
        <v>92</v>
      </c>
      <c r="B21" s="45" t="s">
        <v>93</v>
      </c>
      <c r="C21" s="46">
        <f>(HearingAids[[#This Row],[haMSRP]]*2)+HearingAids[[#This Row],[chargerPrice]]</f>
        <v>4690</v>
      </c>
      <c r="D21" s="47">
        <v>2345</v>
      </c>
      <c r="E21" s="47" t="s">
        <v>10</v>
      </c>
      <c r="F21" s="47">
        <f>HearingAids[[#This Row],[haMSRP]]-((HearingAids[[#This Row],[ListPriceBinural]]-HearingAids[[#This Row],[chargerPrice]])/2)</f>
        <v>595</v>
      </c>
      <c r="G21" s="47">
        <f>HearingAids[[#This Row],[haMSRP]]-HearingAids[[#This Row],[Discount Amount 1]]</f>
        <v>1750</v>
      </c>
      <c r="H21" s="53">
        <v>3500</v>
      </c>
      <c r="I21" s="65" t="s">
        <v>45</v>
      </c>
      <c r="J21" s="49">
        <v>0</v>
      </c>
      <c r="K21" s="49">
        <f>HearingAids[[#This Row],[HAListPrice]]-HearingAids[[#This Row],[Discount Amount 2]]</f>
        <v>1750</v>
      </c>
      <c r="L21" s="53"/>
      <c r="M21" s="49"/>
      <c r="N21" s="49"/>
      <c r="O21" s="49"/>
      <c r="P21" s="49"/>
      <c r="Q21" s="50">
        <v>1</v>
      </c>
      <c r="R21" s="49" t="s">
        <v>46</v>
      </c>
      <c r="S21" s="49">
        <v>0</v>
      </c>
      <c r="T21" s="52" t="s">
        <v>74</v>
      </c>
      <c r="U21" s="4">
        <v>0</v>
      </c>
      <c r="V21" s="59" t="s">
        <v>56</v>
      </c>
      <c r="Y21" s="16"/>
      <c r="Z21" s="16"/>
      <c r="AA21" s="16"/>
      <c r="AB21"/>
      <c r="AC21"/>
      <c r="AD21"/>
      <c r="AE21"/>
    </row>
    <row r="22" spans="1:31" ht="12.75" hidden="1">
      <c r="A22" s="45" t="s">
        <v>94</v>
      </c>
      <c r="B22" s="45" t="s">
        <v>95</v>
      </c>
      <c r="C22" s="46">
        <f>(HearingAids[[#This Row],[haMSRP]]*2)+HearingAids[[#This Row],[chargerPrice]]</f>
        <v>4690</v>
      </c>
      <c r="D22" s="47">
        <v>2345</v>
      </c>
      <c r="E22" s="47" t="s">
        <v>10</v>
      </c>
      <c r="F22" s="47">
        <f>HearingAids[[#This Row],[haMSRP]]-((HearingAids[[#This Row],[ListPriceBinural]]-HearingAids[[#This Row],[chargerPrice]])/2)</f>
        <v>595</v>
      </c>
      <c r="G22" s="47">
        <f>HearingAids[[#This Row],[haMSRP]]-HearingAids[[#This Row],[Discount Amount 1]]</f>
        <v>1750</v>
      </c>
      <c r="H22" s="53">
        <v>3500</v>
      </c>
      <c r="I22" s="65" t="s">
        <v>45</v>
      </c>
      <c r="J22" s="49">
        <v>0</v>
      </c>
      <c r="K22" s="49">
        <f>HearingAids[[#This Row],[HAListPrice]]-HearingAids[[#This Row],[Discount Amount 2]]</f>
        <v>1750</v>
      </c>
      <c r="L22" s="53"/>
      <c r="M22" s="49"/>
      <c r="N22" s="49"/>
      <c r="O22" s="49"/>
      <c r="P22" s="49"/>
      <c r="Q22" s="50">
        <v>1</v>
      </c>
      <c r="R22" s="49" t="s">
        <v>46</v>
      </c>
      <c r="S22" s="49">
        <v>0</v>
      </c>
      <c r="T22" s="52" t="s">
        <v>74</v>
      </c>
      <c r="U22" s="4">
        <v>0</v>
      </c>
      <c r="V22" s="59" t="s">
        <v>56</v>
      </c>
      <c r="Y22" s="16"/>
      <c r="Z22" s="16"/>
      <c r="AA22" s="16"/>
      <c r="AB22"/>
      <c r="AC22"/>
      <c r="AD22"/>
      <c r="AE22"/>
    </row>
    <row r="23" spans="1:31" ht="12.75" hidden="1">
      <c r="A23" s="45" t="s">
        <v>96</v>
      </c>
      <c r="B23" s="45" t="s">
        <v>97</v>
      </c>
      <c r="C23" s="46">
        <f>(HearingAids[[#This Row],[haMSRP]]*2)+HearingAids[[#This Row],[chargerPrice]]</f>
        <v>4690</v>
      </c>
      <c r="D23" s="47">
        <v>2345</v>
      </c>
      <c r="E23" s="47" t="s">
        <v>10</v>
      </c>
      <c r="F23" s="47">
        <f>HearingAids[[#This Row],[haMSRP]]-((HearingAids[[#This Row],[ListPriceBinural]]-HearingAids[[#This Row],[chargerPrice]])/2)</f>
        <v>595</v>
      </c>
      <c r="G23" s="47">
        <f>HearingAids[[#This Row],[haMSRP]]-HearingAids[[#This Row],[Discount Amount 1]]</f>
        <v>1750</v>
      </c>
      <c r="H23" s="53">
        <v>3500</v>
      </c>
      <c r="I23" s="65" t="s">
        <v>45</v>
      </c>
      <c r="J23" s="49">
        <v>0</v>
      </c>
      <c r="K23" s="49">
        <f>HearingAids[[#This Row],[HAListPrice]]-HearingAids[[#This Row],[Discount Amount 2]]</f>
        <v>1750</v>
      </c>
      <c r="L23" s="53"/>
      <c r="M23" s="49"/>
      <c r="N23" s="49"/>
      <c r="O23" s="49"/>
      <c r="P23" s="49"/>
      <c r="Q23" s="50">
        <v>1</v>
      </c>
      <c r="R23" s="49" t="s">
        <v>46</v>
      </c>
      <c r="S23" s="49">
        <v>0</v>
      </c>
      <c r="T23" s="52" t="s">
        <v>79</v>
      </c>
      <c r="U23" s="4">
        <v>0</v>
      </c>
      <c r="V23" s="52"/>
      <c r="Y23" s="16"/>
      <c r="Z23" s="16"/>
      <c r="AA23" s="16"/>
      <c r="AC23"/>
      <c r="AD23"/>
      <c r="AE23"/>
    </row>
    <row r="24" spans="1:31" ht="12.75" hidden="1">
      <c r="A24" s="45" t="s">
        <v>98</v>
      </c>
      <c r="B24" s="45" t="s">
        <v>99</v>
      </c>
      <c r="C24" s="46">
        <f>(HearingAids[[#This Row],[haMSRP]]*2)+HearingAids[[#This Row],[chargerPrice]]</f>
        <v>4690</v>
      </c>
      <c r="D24" s="47">
        <v>2345</v>
      </c>
      <c r="E24" s="47" t="s">
        <v>10</v>
      </c>
      <c r="F24" s="47">
        <f>HearingAids[[#This Row],[haMSRP]]-((HearingAids[[#This Row],[ListPriceBinural]]-HearingAids[[#This Row],[chargerPrice]])/2)</f>
        <v>595</v>
      </c>
      <c r="G24" s="47">
        <f>HearingAids[[#This Row],[haMSRP]]-HearingAids[[#This Row],[Discount Amount 1]]</f>
        <v>1750</v>
      </c>
      <c r="H24" s="53">
        <v>3500</v>
      </c>
      <c r="I24" s="65" t="s">
        <v>45</v>
      </c>
      <c r="J24" s="49">
        <v>0</v>
      </c>
      <c r="K24" s="49">
        <f>HearingAids[[#This Row],[HAListPrice]]-HearingAids[[#This Row],[Discount Amount 2]]</f>
        <v>1750</v>
      </c>
      <c r="L24" s="53"/>
      <c r="M24" s="49"/>
      <c r="N24" s="49"/>
      <c r="O24" s="49"/>
      <c r="P24" s="49"/>
      <c r="Q24" s="50">
        <v>1</v>
      </c>
      <c r="R24" s="49" t="s">
        <v>46</v>
      </c>
      <c r="S24" s="49">
        <v>0</v>
      </c>
      <c r="T24" s="52" t="s">
        <v>79</v>
      </c>
      <c r="U24" s="4">
        <v>0</v>
      </c>
      <c r="V24" s="52"/>
      <c r="Y24" s="16"/>
      <c r="Z24" s="16"/>
      <c r="AA24" s="16"/>
      <c r="AB24"/>
      <c r="AC24"/>
      <c r="AD24"/>
      <c r="AE24"/>
    </row>
    <row r="25" spans="1:31" ht="12.75" hidden="1">
      <c r="A25" s="45" t="s">
        <v>100</v>
      </c>
      <c r="B25" s="45" t="s">
        <v>101</v>
      </c>
      <c r="C25" s="46">
        <f>(HearingAids[[#This Row],[haMSRP]]*2)+HearingAids[[#This Row],[chargerPrice]]</f>
        <v>4690</v>
      </c>
      <c r="D25" s="47">
        <v>2345</v>
      </c>
      <c r="E25" s="47" t="s">
        <v>10</v>
      </c>
      <c r="F25" s="47">
        <f>HearingAids[[#This Row],[haMSRP]]-((HearingAids[[#This Row],[ListPriceBinural]]-HearingAids[[#This Row],[chargerPrice]])/2)</f>
        <v>595</v>
      </c>
      <c r="G25" s="47">
        <f>HearingAids[[#This Row],[haMSRP]]-HearingAids[[#This Row],[Discount Amount 1]]</f>
        <v>1750</v>
      </c>
      <c r="H25" s="53">
        <v>3500</v>
      </c>
      <c r="I25" s="65" t="s">
        <v>45</v>
      </c>
      <c r="J25" s="49">
        <v>0</v>
      </c>
      <c r="K25" s="49">
        <f>HearingAids[[#This Row],[HAListPrice]]-HearingAids[[#This Row],[Discount Amount 2]]</f>
        <v>1750</v>
      </c>
      <c r="L25" s="53"/>
      <c r="M25" s="49"/>
      <c r="N25" s="49"/>
      <c r="O25" s="49"/>
      <c r="P25" s="49"/>
      <c r="Q25" s="50">
        <v>1</v>
      </c>
      <c r="R25" s="49" t="s">
        <v>46</v>
      </c>
      <c r="S25" s="49">
        <v>0</v>
      </c>
      <c r="T25" s="52" t="s">
        <v>79</v>
      </c>
      <c r="U25" s="4">
        <v>0</v>
      </c>
      <c r="V25" s="52"/>
      <c r="X25" s="16"/>
      <c r="Y25" s="16"/>
      <c r="Z25" s="16"/>
      <c r="AA25" s="16"/>
      <c r="AB25"/>
      <c r="AC25"/>
      <c r="AD25"/>
      <c r="AE25"/>
    </row>
    <row r="26" spans="1:31" ht="12.75" hidden="1">
      <c r="A26" s="45" t="s">
        <v>102</v>
      </c>
      <c r="B26" s="45" t="s">
        <v>103</v>
      </c>
      <c r="C26" s="46">
        <f>(HearingAids[[#This Row],[haMSRP]]*2)+HearingAids[[#This Row],[chargerPrice]]</f>
        <v>6283</v>
      </c>
      <c r="D26" s="47">
        <v>3029</v>
      </c>
      <c r="E26" s="47" t="s">
        <v>10</v>
      </c>
      <c r="F26" s="47">
        <f>HearingAids[[#This Row],[haMSRP]]-((HearingAids[[#This Row],[ListPriceBinural]]-HearingAids[[#This Row],[chargerPrice]])/2)</f>
        <v>616.5</v>
      </c>
      <c r="G26" s="47">
        <f>HearingAids[[#This Row],[haMSRP]]-HearingAids[[#This Row],[Discount Amount 1]]</f>
        <v>2412.5</v>
      </c>
      <c r="H26" s="53">
        <v>5050</v>
      </c>
      <c r="I26" s="65" t="s">
        <v>45</v>
      </c>
      <c r="J26" s="49">
        <v>0</v>
      </c>
      <c r="K26" s="49">
        <f>HearingAids[[#This Row],[HAListPrice]]-HearingAids[[#This Row],[Discount Amount 2]]</f>
        <v>2412.5</v>
      </c>
      <c r="L26" s="53"/>
      <c r="M26" s="49"/>
      <c r="N26" s="49"/>
      <c r="O26" s="49"/>
      <c r="P26" s="49"/>
      <c r="Q26" s="50">
        <v>1</v>
      </c>
      <c r="R26" s="85" t="s">
        <v>49</v>
      </c>
      <c r="S26" s="86">
        <v>225</v>
      </c>
      <c r="T26" s="52" t="s">
        <v>63</v>
      </c>
      <c r="U26" s="4">
        <v>0</v>
      </c>
      <c r="V26" s="59" t="s">
        <v>56</v>
      </c>
      <c r="X26" s="16"/>
      <c r="Y26" s="16"/>
      <c r="Z26" s="16"/>
      <c r="AA26" s="16"/>
      <c r="AB26"/>
      <c r="AC26"/>
      <c r="AD26"/>
      <c r="AE26"/>
    </row>
    <row r="27" spans="1:31" ht="12.75" hidden="1">
      <c r="A27" s="45" t="s">
        <v>104</v>
      </c>
      <c r="B27" s="45" t="s">
        <v>105</v>
      </c>
      <c r="C27" s="46">
        <f>(HearingAids[[#This Row],[haMSRP]]*2)+HearingAids[[#This Row],[chargerPrice]]</f>
        <v>6058</v>
      </c>
      <c r="D27" s="47">
        <v>3029</v>
      </c>
      <c r="E27" s="47" t="s">
        <v>10</v>
      </c>
      <c r="F27" s="47">
        <f>HearingAids[[#This Row],[haMSRP]]-((HearingAids[[#This Row],[ListPriceBinural]]-HearingAids[[#This Row],[chargerPrice]])/2)</f>
        <v>504</v>
      </c>
      <c r="G27" s="47">
        <f>HearingAids[[#This Row],[haMSRP]]-HearingAids[[#This Row],[Discount Amount 1]]</f>
        <v>2525</v>
      </c>
      <c r="H27" s="53">
        <v>5050</v>
      </c>
      <c r="I27" s="65" t="s">
        <v>45</v>
      </c>
      <c r="J27" s="49">
        <v>0</v>
      </c>
      <c r="K27" s="49">
        <f>HearingAids[[#This Row],[HAListPrice]]-HearingAids[[#This Row],[Discount Amount 2]]</f>
        <v>2525</v>
      </c>
      <c r="L27" s="53"/>
      <c r="M27" s="49"/>
      <c r="N27" s="49"/>
      <c r="O27" s="49"/>
      <c r="P27" s="49"/>
      <c r="Q27" s="50">
        <v>1</v>
      </c>
      <c r="R27" s="49" t="s">
        <v>46</v>
      </c>
      <c r="S27" s="49">
        <v>0</v>
      </c>
      <c r="T27" s="52" t="s">
        <v>63</v>
      </c>
      <c r="U27" s="4">
        <v>0</v>
      </c>
      <c r="V27" s="59" t="s">
        <v>56</v>
      </c>
      <c r="X27" s="16"/>
      <c r="Y27" s="16"/>
      <c r="Z27" s="16"/>
      <c r="AA27" s="16"/>
      <c r="AB27"/>
      <c r="AC27"/>
      <c r="AD27"/>
      <c r="AE27"/>
    </row>
    <row r="28" spans="1:31" ht="12.75" hidden="1">
      <c r="A28" s="45" t="s">
        <v>106</v>
      </c>
      <c r="B28" s="45" t="s">
        <v>107</v>
      </c>
      <c r="C28" s="46">
        <f>(HearingAids[[#This Row],[haMSRP]]*2)+HearingAids[[#This Row],[chargerPrice]]</f>
        <v>6058</v>
      </c>
      <c r="D28" s="47">
        <v>3029</v>
      </c>
      <c r="E28" s="47" t="s">
        <v>10</v>
      </c>
      <c r="F28" s="47">
        <f>HearingAids[[#This Row],[haMSRP]]-((HearingAids[[#This Row],[ListPriceBinural]]-HearingAids[[#This Row],[chargerPrice]])/2)</f>
        <v>504</v>
      </c>
      <c r="G28" s="47">
        <f>HearingAids[[#This Row],[haMSRP]]-HearingAids[[#This Row],[Discount Amount 1]]</f>
        <v>2525</v>
      </c>
      <c r="H28" s="53">
        <v>5050</v>
      </c>
      <c r="I28" s="65" t="s">
        <v>45</v>
      </c>
      <c r="J28" s="49">
        <v>0</v>
      </c>
      <c r="K28" s="49">
        <f>HearingAids[[#This Row],[HAListPrice]]-HearingAids[[#This Row],[Discount Amount 2]]</f>
        <v>2525</v>
      </c>
      <c r="L28" s="53"/>
      <c r="M28" s="49"/>
      <c r="N28" s="49"/>
      <c r="O28" s="49"/>
      <c r="P28" s="49"/>
      <c r="Q28" s="50">
        <v>1</v>
      </c>
      <c r="R28" s="49" t="s">
        <v>46</v>
      </c>
      <c r="S28" s="49">
        <v>0</v>
      </c>
      <c r="T28" s="52" t="s">
        <v>68</v>
      </c>
      <c r="U28" s="4">
        <v>0</v>
      </c>
      <c r="V28" s="52" t="s">
        <v>69</v>
      </c>
      <c r="Y28" s="16"/>
      <c r="Z28" s="16"/>
      <c r="AA28" s="16"/>
      <c r="AB28"/>
      <c r="AC28"/>
      <c r="AD28"/>
      <c r="AE28"/>
    </row>
    <row r="29" spans="1:31" ht="12.75" hidden="1">
      <c r="A29" s="45" t="s">
        <v>108</v>
      </c>
      <c r="B29" s="45" t="s">
        <v>109</v>
      </c>
      <c r="C29" s="46">
        <f>(HearingAids[[#This Row],[haMSRP]]*2)+HearingAids[[#This Row],[chargerPrice]]</f>
        <v>6058</v>
      </c>
      <c r="D29" s="47">
        <v>3029</v>
      </c>
      <c r="E29" s="47" t="s">
        <v>10</v>
      </c>
      <c r="F29" s="47">
        <f>HearingAids[[#This Row],[haMSRP]]-((HearingAids[[#This Row],[ListPriceBinural]]-HearingAids[[#This Row],[chargerPrice]])/2)</f>
        <v>504</v>
      </c>
      <c r="G29" s="47">
        <f>HearingAids[[#This Row],[haMSRP]]-HearingAids[[#This Row],[Discount Amount 1]]</f>
        <v>2525</v>
      </c>
      <c r="H29" s="53">
        <v>5050</v>
      </c>
      <c r="I29" s="65" t="s">
        <v>45</v>
      </c>
      <c r="J29" s="49">
        <v>0</v>
      </c>
      <c r="K29" s="49">
        <f>HearingAids[[#This Row],[HAListPrice]]-HearingAids[[#This Row],[Discount Amount 2]]</f>
        <v>2525</v>
      </c>
      <c r="L29" s="53"/>
      <c r="M29" s="49"/>
      <c r="N29" s="49"/>
      <c r="O29" s="49"/>
      <c r="P29" s="49"/>
      <c r="Q29" s="50">
        <v>1</v>
      </c>
      <c r="R29" s="49" t="s">
        <v>46</v>
      </c>
      <c r="S29" s="49">
        <v>0</v>
      </c>
      <c r="T29" s="52" t="s">
        <v>68</v>
      </c>
      <c r="U29" s="4">
        <v>0</v>
      </c>
      <c r="V29" s="52" t="s">
        <v>69</v>
      </c>
      <c r="Y29" s="16"/>
      <c r="Z29" s="16"/>
      <c r="AA29" s="16"/>
      <c r="AB29"/>
      <c r="AC29"/>
      <c r="AD29"/>
      <c r="AE29"/>
    </row>
    <row r="30" spans="1:31" ht="12.75" hidden="1">
      <c r="A30" s="45" t="s">
        <v>110</v>
      </c>
      <c r="B30" s="45" t="s">
        <v>111</v>
      </c>
      <c r="C30" s="46">
        <f>(HearingAids[[#This Row],[haMSRP]]*2)+HearingAids[[#This Row],[chargerPrice]]</f>
        <v>6058</v>
      </c>
      <c r="D30" s="47">
        <v>3029</v>
      </c>
      <c r="E30" s="47" t="s">
        <v>10</v>
      </c>
      <c r="F30" s="47">
        <f>HearingAids[[#This Row],[haMSRP]]-((HearingAids[[#This Row],[ListPriceBinural]]-HearingAids[[#This Row],[chargerPrice]])/2)</f>
        <v>504</v>
      </c>
      <c r="G30" s="47">
        <f>HearingAids[[#This Row],[haMSRP]]-HearingAids[[#This Row],[Discount Amount 1]]</f>
        <v>2525</v>
      </c>
      <c r="H30" s="53">
        <v>5050</v>
      </c>
      <c r="I30" s="65" t="s">
        <v>45</v>
      </c>
      <c r="J30" s="49">
        <v>0</v>
      </c>
      <c r="K30" s="49">
        <f>HearingAids[[#This Row],[HAListPrice]]-HearingAids[[#This Row],[Discount Amount 2]]</f>
        <v>2525</v>
      </c>
      <c r="L30" s="53"/>
      <c r="M30" s="49"/>
      <c r="N30" s="49"/>
      <c r="O30" s="49"/>
      <c r="P30" s="49"/>
      <c r="Q30" s="50">
        <v>1</v>
      </c>
      <c r="R30" s="49" t="s">
        <v>46</v>
      </c>
      <c r="S30" s="49">
        <v>0</v>
      </c>
      <c r="T30" s="52" t="s">
        <v>74</v>
      </c>
      <c r="U30" s="4">
        <v>0</v>
      </c>
      <c r="V30" s="59" t="s">
        <v>56</v>
      </c>
      <c r="Y30" s="16"/>
      <c r="Z30" s="16"/>
      <c r="AA30" s="16"/>
      <c r="AB30"/>
      <c r="AC30"/>
      <c r="AD30"/>
      <c r="AE30"/>
    </row>
    <row r="31" spans="1:31" ht="12.75" hidden="1">
      <c r="A31" s="45" t="s">
        <v>112</v>
      </c>
      <c r="B31" s="45" t="s">
        <v>113</v>
      </c>
      <c r="C31" s="46">
        <f>(HearingAids[[#This Row],[haMSRP]]*2)+HearingAids[[#This Row],[chargerPrice]]</f>
        <v>6058</v>
      </c>
      <c r="D31" s="47">
        <v>3029</v>
      </c>
      <c r="E31" s="47" t="s">
        <v>10</v>
      </c>
      <c r="F31" s="47">
        <f>HearingAids[[#This Row],[haMSRP]]-((HearingAids[[#This Row],[ListPriceBinural]]-HearingAids[[#This Row],[chargerPrice]])/2)</f>
        <v>504</v>
      </c>
      <c r="G31" s="47">
        <f>HearingAids[[#This Row],[haMSRP]]-HearingAids[[#This Row],[Discount Amount 1]]</f>
        <v>2525</v>
      </c>
      <c r="H31" s="53">
        <v>5050</v>
      </c>
      <c r="I31" s="65" t="s">
        <v>45</v>
      </c>
      <c r="J31" s="49">
        <v>0</v>
      </c>
      <c r="K31" s="49">
        <f>HearingAids[[#This Row],[HAListPrice]]-HearingAids[[#This Row],[Discount Amount 2]]</f>
        <v>2525</v>
      </c>
      <c r="L31" s="53"/>
      <c r="M31" s="49"/>
      <c r="N31" s="49"/>
      <c r="O31" s="49"/>
      <c r="P31" s="49"/>
      <c r="Q31" s="50">
        <v>1</v>
      </c>
      <c r="R31" s="49" t="s">
        <v>46</v>
      </c>
      <c r="S31" s="49">
        <v>0</v>
      </c>
      <c r="T31" s="52" t="s">
        <v>74</v>
      </c>
      <c r="U31" s="4">
        <v>0</v>
      </c>
      <c r="V31" s="59" t="s">
        <v>56</v>
      </c>
      <c r="Y31" s="16"/>
      <c r="Z31" s="16"/>
      <c r="AA31" s="16"/>
      <c r="AB31"/>
      <c r="AC31"/>
      <c r="AD31"/>
      <c r="AE31"/>
    </row>
    <row r="32" spans="1:31" ht="12.75" hidden="1">
      <c r="A32" s="45" t="s">
        <v>114</v>
      </c>
      <c r="B32" s="45" t="s">
        <v>115</v>
      </c>
      <c r="C32" s="46">
        <f>(HearingAids[[#This Row],[haMSRP]]*2)+HearingAids[[#This Row],[chargerPrice]]</f>
        <v>6058</v>
      </c>
      <c r="D32" s="47">
        <v>3029</v>
      </c>
      <c r="E32" s="47" t="s">
        <v>10</v>
      </c>
      <c r="F32" s="47">
        <f>HearingAids[[#This Row],[haMSRP]]-((HearingAids[[#This Row],[ListPriceBinural]]-HearingAids[[#This Row],[chargerPrice]])/2)</f>
        <v>504</v>
      </c>
      <c r="G32" s="47">
        <f>HearingAids[[#This Row],[haMSRP]]-HearingAids[[#This Row],[Discount Amount 1]]</f>
        <v>2525</v>
      </c>
      <c r="H32" s="53">
        <v>5050</v>
      </c>
      <c r="I32" s="65" t="s">
        <v>45</v>
      </c>
      <c r="J32" s="49">
        <v>0</v>
      </c>
      <c r="K32" s="49">
        <f>HearingAids[[#This Row],[HAListPrice]]-HearingAids[[#This Row],[Discount Amount 2]]</f>
        <v>2525</v>
      </c>
      <c r="L32" s="53"/>
      <c r="M32" s="49"/>
      <c r="N32" s="49"/>
      <c r="O32" s="49"/>
      <c r="P32" s="49"/>
      <c r="Q32" s="50">
        <v>1</v>
      </c>
      <c r="R32" s="49" t="s">
        <v>46</v>
      </c>
      <c r="S32" s="49">
        <v>0</v>
      </c>
      <c r="T32" s="52" t="s">
        <v>79</v>
      </c>
      <c r="U32" s="4">
        <v>0</v>
      </c>
      <c r="V32" s="52"/>
      <c r="Y32" s="16"/>
      <c r="Z32" s="16"/>
      <c r="AA32" s="16"/>
      <c r="AB32"/>
      <c r="AC32"/>
      <c r="AD32"/>
      <c r="AE32"/>
    </row>
    <row r="33" spans="1:31" ht="12.75" hidden="1">
      <c r="A33" s="45" t="s">
        <v>116</v>
      </c>
      <c r="B33" s="45" t="s">
        <v>117</v>
      </c>
      <c r="C33" s="46">
        <f>(HearingAids[[#This Row],[haMSRP]]*2)+HearingAids[[#This Row],[chargerPrice]]</f>
        <v>6058</v>
      </c>
      <c r="D33" s="47">
        <v>3029</v>
      </c>
      <c r="E33" s="47" t="s">
        <v>10</v>
      </c>
      <c r="F33" s="47">
        <f>HearingAids[[#This Row],[haMSRP]]-((HearingAids[[#This Row],[ListPriceBinural]]-HearingAids[[#This Row],[chargerPrice]])/2)</f>
        <v>504</v>
      </c>
      <c r="G33" s="47">
        <f>HearingAids[[#This Row],[haMSRP]]-HearingAids[[#This Row],[Discount Amount 1]]</f>
        <v>2525</v>
      </c>
      <c r="H33" s="53">
        <v>5050</v>
      </c>
      <c r="I33" s="65" t="s">
        <v>45</v>
      </c>
      <c r="J33" s="49">
        <v>0</v>
      </c>
      <c r="K33" s="49">
        <f>HearingAids[[#This Row],[HAListPrice]]-HearingAids[[#This Row],[Discount Amount 2]]</f>
        <v>2525</v>
      </c>
      <c r="L33" s="53"/>
      <c r="M33" s="49"/>
      <c r="N33" s="49"/>
      <c r="O33" s="49"/>
      <c r="P33" s="49"/>
      <c r="Q33" s="50">
        <v>1</v>
      </c>
      <c r="R33" s="49" t="s">
        <v>46</v>
      </c>
      <c r="S33" s="49">
        <v>0</v>
      </c>
      <c r="T33" s="52" t="s">
        <v>79</v>
      </c>
      <c r="U33" s="4">
        <v>0</v>
      </c>
      <c r="V33" s="52"/>
      <c r="Y33" s="16"/>
      <c r="Z33" s="16"/>
      <c r="AA33" s="16"/>
      <c r="AB33"/>
      <c r="AC33"/>
      <c r="AD33"/>
      <c r="AE33"/>
    </row>
    <row r="34" spans="1:31" ht="12.75" hidden="1">
      <c r="A34" s="45" t="s">
        <v>118</v>
      </c>
      <c r="B34" s="45" t="s">
        <v>119</v>
      </c>
      <c r="C34" s="46">
        <f>(HearingAids[[#This Row],[haMSRP]]*2)+HearingAids[[#This Row],[chargerPrice]]</f>
        <v>6058</v>
      </c>
      <c r="D34" s="47">
        <v>3029</v>
      </c>
      <c r="E34" s="47" t="s">
        <v>10</v>
      </c>
      <c r="F34" s="47">
        <f>HearingAids[[#This Row],[haMSRP]]-((HearingAids[[#This Row],[ListPriceBinural]]-HearingAids[[#This Row],[chargerPrice]])/2)</f>
        <v>504</v>
      </c>
      <c r="G34" s="47">
        <f>HearingAids[[#This Row],[haMSRP]]-HearingAids[[#This Row],[Discount Amount 1]]</f>
        <v>2525</v>
      </c>
      <c r="H34" s="53">
        <v>5050</v>
      </c>
      <c r="I34" s="65" t="s">
        <v>45</v>
      </c>
      <c r="J34" s="49">
        <v>0</v>
      </c>
      <c r="K34" s="49">
        <f>HearingAids[[#This Row],[HAListPrice]]-HearingAids[[#This Row],[Discount Amount 2]]</f>
        <v>2525</v>
      </c>
      <c r="L34" s="53"/>
      <c r="M34" s="49"/>
      <c r="N34" s="49"/>
      <c r="O34" s="49"/>
      <c r="P34" s="49"/>
      <c r="Q34" s="50">
        <v>1</v>
      </c>
      <c r="R34" s="49" t="s">
        <v>46</v>
      </c>
      <c r="S34" s="49">
        <v>0</v>
      </c>
      <c r="T34" s="52" t="s">
        <v>79</v>
      </c>
      <c r="U34" s="4">
        <v>0</v>
      </c>
      <c r="V34" s="52"/>
      <c r="Y34" s="16"/>
      <c r="Z34" s="16"/>
      <c r="AA34" s="16"/>
      <c r="AB34"/>
      <c r="AC34"/>
      <c r="AD34"/>
      <c r="AE34"/>
    </row>
    <row r="35" spans="1:31" ht="12.75" hidden="1">
      <c r="A35" s="45" t="s">
        <v>120</v>
      </c>
      <c r="B35" s="45" t="s">
        <v>121</v>
      </c>
      <c r="C35" s="46">
        <f>(HearingAids[[#This Row],[haMSRP]]*2)+HearingAids[[#This Row],[chargerPrice]]</f>
        <v>6283</v>
      </c>
      <c r="D35" s="49">
        <v>3029</v>
      </c>
      <c r="E35" s="49" t="s">
        <v>10</v>
      </c>
      <c r="F35" s="47">
        <f>HearingAids[[#This Row],[haMSRP]]-((HearingAids[[#This Row],[ListPriceBinural]]-HearingAids[[#This Row],[chargerPrice]])/2)</f>
        <v>616.5</v>
      </c>
      <c r="G35" s="47">
        <f>HearingAids[[#This Row],[haMSRP]]-HearingAids[[#This Row],[Discount Amount 1]]</f>
        <v>2412.5</v>
      </c>
      <c r="H35" s="53">
        <v>5050</v>
      </c>
      <c r="I35" s="90" t="s">
        <v>45</v>
      </c>
      <c r="J35" s="49">
        <f>(HearingAids[[#This Row],[haMSRP]]-HearingAids[[#This Row],[Discount Amount 1]])-(HearingAids[[#This Row],[haNetPriceBinural]]-HearingAids[[#This Row],[chargerPrice]])/2</f>
        <v>0</v>
      </c>
      <c r="K35" s="49">
        <f>HearingAids[[#This Row],[HAListPrice]]-HearingAids[[#This Row],[Discount Amount 2]]</f>
        <v>2412.5</v>
      </c>
      <c r="L35" s="53">
        <v>5050</v>
      </c>
      <c r="M35" s="49"/>
      <c r="N35" s="49"/>
      <c r="O35" s="49"/>
      <c r="P35" s="49"/>
      <c r="Q35" s="50">
        <v>1</v>
      </c>
      <c r="R35" s="85" t="s">
        <v>49</v>
      </c>
      <c r="S35" s="86">
        <v>225</v>
      </c>
      <c r="T35" s="52"/>
      <c r="U35" s="52"/>
      <c r="V35" s="52"/>
      <c r="Y35" s="16"/>
      <c r="Z35" s="16"/>
      <c r="AA35" s="16"/>
      <c r="AB35"/>
      <c r="AC35"/>
      <c r="AD35"/>
      <c r="AE35"/>
    </row>
    <row r="36" spans="1:31" ht="12.75" hidden="1">
      <c r="A36" s="45" t="s">
        <v>47</v>
      </c>
      <c r="B36" s="45" t="s">
        <v>48</v>
      </c>
      <c r="C36" s="46">
        <f>(HearingAids[[#This Row],[haMSRP]]*2)+HearingAids[[#This Row],[chargerPrice]]</f>
        <v>4903</v>
      </c>
      <c r="D36" s="47">
        <v>2339</v>
      </c>
      <c r="E36" s="47" t="s">
        <v>10</v>
      </c>
      <c r="F36" s="47">
        <f>HearingAids[[#This Row],[haMSRP]]-((HearingAids[[#This Row],[ListPriceBinural]]-HearingAids[[#This Row],[chargerPrice]])/2)</f>
        <v>701.5</v>
      </c>
      <c r="G36" s="47">
        <f>HearingAids[[#This Row],[haMSRP]]-HearingAids[[#This Row],[Discount Amount 1]]</f>
        <v>1637.5</v>
      </c>
      <c r="H36" s="54">
        <v>3500</v>
      </c>
      <c r="I36" s="65" t="s">
        <v>122</v>
      </c>
      <c r="J36" s="49">
        <f>(HearingAids[[#This Row],[haMSRP]]-HearingAids[[#This Row],[Discount Amount 1]])-(HearingAids[[#This Row],[haNetPriceBinural]]-HearingAids[[#This Row],[chargerPrice]])/2</f>
        <v>55</v>
      </c>
      <c r="K36" s="49">
        <f>HearingAids[[#This Row],[HAListPrice]]-HearingAids[[#This Row],[Discount Amount 2]]</f>
        <v>1582.5</v>
      </c>
      <c r="L36" s="54">
        <v>3390</v>
      </c>
      <c r="M36" s="49"/>
      <c r="N36" s="49"/>
      <c r="O36" s="49"/>
      <c r="P36" s="86"/>
      <c r="Q36" s="87">
        <v>1</v>
      </c>
      <c r="R36" s="88" t="s">
        <v>49</v>
      </c>
      <c r="S36" s="86">
        <v>225</v>
      </c>
      <c r="T36" s="89" t="s">
        <v>63</v>
      </c>
      <c r="U36" s="16">
        <v>0</v>
      </c>
      <c r="V36" s="60" t="s">
        <v>56</v>
      </c>
      <c r="W36" s="4"/>
      <c r="Y36" s="16"/>
      <c r="Z36" s="16"/>
      <c r="AA36" s="16"/>
      <c r="AB36"/>
      <c r="AC36"/>
      <c r="AD36"/>
      <c r="AE36"/>
    </row>
    <row r="37" spans="1:31" ht="12.75" hidden="1">
      <c r="A37" s="45" t="s">
        <v>123</v>
      </c>
      <c r="B37" s="45" t="s">
        <v>124</v>
      </c>
      <c r="C37" s="46">
        <f>(HearingAids[[#This Row],[haMSRP]]*2)+HearingAids[[#This Row],[chargerPrice]]</f>
        <v>11963</v>
      </c>
      <c r="D37" s="47">
        <v>5819</v>
      </c>
      <c r="E37" s="47" t="s">
        <v>10</v>
      </c>
      <c r="F37" s="47">
        <f>HearingAids[[#This Row],[haMSRP]]-((HearingAids[[#This Row],[ListPriceBinural]]-HearingAids[[#This Row],[chargerPrice]])/2)</f>
        <v>1256.5</v>
      </c>
      <c r="G37" s="47">
        <f>HearingAids[[#This Row],[haMSRP]]-HearingAids[[#This Row],[Discount Amount 1]]</f>
        <v>4562.5</v>
      </c>
      <c r="H37" s="53">
        <v>9450</v>
      </c>
      <c r="I37" s="65" t="s">
        <v>122</v>
      </c>
      <c r="J37" s="49">
        <f>(HearingAids[[#This Row],[haMSRP]]-HearingAids[[#This Row],[Discount Amount 1]])-(HearingAids[[#This Row],[haNetPriceBinural]]-HearingAids[[#This Row],[chargerPrice]])/2</f>
        <v>1380</v>
      </c>
      <c r="K37" s="49">
        <f>HearingAids[[#This Row],[HAListPrice]]-HearingAids[[#This Row],[Discount Amount 2]]</f>
        <v>3182.5</v>
      </c>
      <c r="L37" s="53">
        <v>6690</v>
      </c>
      <c r="M37" s="49"/>
      <c r="N37" s="49"/>
      <c r="O37" s="49"/>
      <c r="P37" s="49"/>
      <c r="Q37" s="50">
        <v>1</v>
      </c>
      <c r="R37" s="49" t="s">
        <v>52</v>
      </c>
      <c r="S37" s="49">
        <v>325</v>
      </c>
      <c r="T37" s="6" t="s">
        <v>55</v>
      </c>
      <c r="U37" s="49">
        <v>0</v>
      </c>
      <c r="V37" s="59" t="s">
        <v>56</v>
      </c>
      <c r="Y37" s="16"/>
      <c r="Z37" s="16"/>
      <c r="AA37" s="16"/>
      <c r="AB37"/>
      <c r="AC37"/>
      <c r="AD37"/>
      <c r="AE37"/>
    </row>
    <row r="38" spans="1:31" ht="12.75" hidden="1">
      <c r="A38" s="45" t="s">
        <v>125</v>
      </c>
      <c r="B38" s="45" t="s">
        <v>126</v>
      </c>
      <c r="C38" s="46">
        <f>(HearingAids[[#This Row],[haMSRP]]*2)+HearingAids[[#This Row],[chargerPrice]]</f>
        <v>7703</v>
      </c>
      <c r="D38" s="47">
        <v>3689</v>
      </c>
      <c r="E38" s="47" t="s">
        <v>10</v>
      </c>
      <c r="F38" s="47">
        <f>HearingAids[[#This Row],[haMSRP]]-((HearingAids[[#This Row],[ListPriceBinural]]-HearingAids[[#This Row],[chargerPrice]])/2)</f>
        <v>326.5</v>
      </c>
      <c r="G38" s="47">
        <f>HearingAids[[#This Row],[haMSRP]]-HearingAids[[#This Row],[Discount Amount 1]]</f>
        <v>3362.5</v>
      </c>
      <c r="H38" s="53">
        <v>7050</v>
      </c>
      <c r="I38" s="65" t="s">
        <v>122</v>
      </c>
      <c r="J38" s="49">
        <f>(HearingAids[[#This Row],[haMSRP]]-HearingAids[[#This Row],[Discount Amount 1]])-(HearingAids[[#This Row],[haNetPriceBinural]]-HearingAids[[#This Row],[chargerPrice]])/2</f>
        <v>1080</v>
      </c>
      <c r="K38" s="49">
        <f>HearingAids[[#This Row],[HAListPrice]]-HearingAids[[#This Row],[Discount Amount 2]]</f>
        <v>2282.5</v>
      </c>
      <c r="L38" s="53">
        <v>4890</v>
      </c>
      <c r="M38" s="49"/>
      <c r="N38" s="49"/>
      <c r="O38" s="49"/>
      <c r="P38" s="49"/>
      <c r="Q38" s="50">
        <v>1</v>
      </c>
      <c r="R38" s="49" t="s">
        <v>52</v>
      </c>
      <c r="S38" s="49">
        <v>325</v>
      </c>
      <c r="T38" s="6" t="s">
        <v>55</v>
      </c>
      <c r="U38" s="49">
        <v>0</v>
      </c>
      <c r="V38" s="59" t="s">
        <v>56</v>
      </c>
      <c r="Y38" s="16"/>
      <c r="Z38" s="16"/>
      <c r="AA38" s="16"/>
      <c r="AB38"/>
      <c r="AC38"/>
      <c r="AD38"/>
      <c r="AE38"/>
    </row>
    <row r="39" spans="1:31" ht="12.75" hidden="1">
      <c r="A39" s="45" t="s">
        <v>127</v>
      </c>
      <c r="B39" s="45" t="s">
        <v>128</v>
      </c>
      <c r="C39" s="46">
        <f>(HearingAids[[#This Row],[haMSRP]]*2)+HearingAids[[#This Row],[chargerPrice]]</f>
        <v>9683</v>
      </c>
      <c r="D39" s="47">
        <v>4679</v>
      </c>
      <c r="E39" s="47" t="s">
        <v>10</v>
      </c>
      <c r="F39" s="47">
        <f>HearingAids[[#This Row],[haMSRP]]-((HearingAids[[#This Row],[ListPriceBinural]]-HearingAids[[#This Row],[chargerPrice]])/2)</f>
        <v>666.5</v>
      </c>
      <c r="G39" s="47">
        <f>HearingAids[[#This Row],[haMSRP]]-HearingAids[[#This Row],[Discount Amount 1]]</f>
        <v>4012.5</v>
      </c>
      <c r="H39" s="53">
        <v>8350</v>
      </c>
      <c r="I39" s="65" t="s">
        <v>122</v>
      </c>
      <c r="J39" s="49">
        <f>(HearingAids[[#This Row],[haMSRP]]-HearingAids[[#This Row],[Discount Amount 1]])-(HearingAids[[#This Row],[haNetPriceBinural]]-HearingAids[[#This Row],[chargerPrice]])/2</f>
        <v>1330</v>
      </c>
      <c r="K39" s="49">
        <f>HearingAids[[#This Row],[HAListPrice]]-HearingAids[[#This Row],[Discount Amount 2]]</f>
        <v>2682.5</v>
      </c>
      <c r="L39" s="53">
        <v>5690</v>
      </c>
      <c r="M39" s="49"/>
      <c r="N39" s="49"/>
      <c r="O39" s="49"/>
      <c r="P39" s="49"/>
      <c r="Q39" s="50">
        <v>1</v>
      </c>
      <c r="R39" s="49" t="s">
        <v>52</v>
      </c>
      <c r="S39" s="49">
        <v>325</v>
      </c>
      <c r="T39" s="6" t="s">
        <v>55</v>
      </c>
      <c r="U39" s="49">
        <v>0</v>
      </c>
      <c r="V39" s="59" t="s">
        <v>56</v>
      </c>
      <c r="Y39" s="16"/>
      <c r="Z39" s="16"/>
      <c r="AA39" s="16"/>
      <c r="AB39"/>
      <c r="AC39"/>
      <c r="AD39"/>
      <c r="AE39"/>
    </row>
    <row r="40" spans="1:31" ht="12.75" hidden="1">
      <c r="A40" s="45" t="s">
        <v>53</v>
      </c>
      <c r="B40" s="45" t="s">
        <v>54</v>
      </c>
      <c r="C40" s="46">
        <f>(HearingAids[[#This Row],[haMSRP]]*2)+HearingAids[[#This Row],[chargerPrice]]</f>
        <v>11963</v>
      </c>
      <c r="D40" s="47">
        <v>5819</v>
      </c>
      <c r="E40" s="47" t="s">
        <v>10</v>
      </c>
      <c r="F40" s="47">
        <f>HearingAids[[#This Row],[haMSRP]]-((HearingAids[[#This Row],[ListPriceBinural]]-HearingAids[[#This Row],[chargerPrice]])/2)</f>
        <v>1256.5</v>
      </c>
      <c r="G40" s="47">
        <f>HearingAids[[#This Row],[haMSRP]]-HearingAids[[#This Row],[Discount Amount 1]]</f>
        <v>4562.5</v>
      </c>
      <c r="H40" s="53">
        <v>9450</v>
      </c>
      <c r="I40" s="65" t="s">
        <v>129</v>
      </c>
      <c r="J40" s="49">
        <f>(HearingAids[[#This Row],[haMSRP]]-HearingAids[[#This Row],[Discount Amount 1]])-(HearingAids[[#This Row],[haNetPriceBinural]]-HearingAids[[#This Row],[chargerPrice]])/2</f>
        <v>0</v>
      </c>
      <c r="K40" s="49">
        <f>HearingAids[[#This Row],[HAListPrice]]-HearingAids[[#This Row],[Discount Amount 2]]</f>
        <v>4562.5</v>
      </c>
      <c r="L40" s="53">
        <v>9450</v>
      </c>
      <c r="M40" s="49"/>
      <c r="N40" s="49"/>
      <c r="O40" s="49"/>
      <c r="P40" s="49"/>
      <c r="Q40" s="50">
        <v>1</v>
      </c>
      <c r="R40" s="49" t="s">
        <v>52</v>
      </c>
      <c r="S40" s="49">
        <v>325</v>
      </c>
      <c r="T40" s="6" t="s">
        <v>55</v>
      </c>
      <c r="U40" s="49">
        <v>0</v>
      </c>
      <c r="V40" s="59" t="s">
        <v>56</v>
      </c>
      <c r="Y40" s="16"/>
      <c r="Z40" s="16"/>
      <c r="AA40" s="16"/>
      <c r="AB40"/>
      <c r="AC40"/>
      <c r="AD40"/>
      <c r="AE40"/>
    </row>
    <row r="41" spans="1:31" ht="12.75" hidden="1">
      <c r="A41" s="45" t="s">
        <v>57</v>
      </c>
      <c r="B41" s="45" t="s">
        <v>58</v>
      </c>
      <c r="C41" s="46">
        <f>(HearingAids[[#This Row],[haMSRP]]*2)+HearingAids[[#This Row],[chargerPrice]]</f>
        <v>7703</v>
      </c>
      <c r="D41" s="47">
        <v>3689</v>
      </c>
      <c r="E41" s="47" t="s">
        <v>10</v>
      </c>
      <c r="F41" s="47">
        <f>HearingAids[[#This Row],[haMSRP]]-((HearingAids[[#This Row],[ListPriceBinural]]-HearingAids[[#This Row],[chargerPrice]])/2)</f>
        <v>326.5</v>
      </c>
      <c r="G41" s="47">
        <f>HearingAids[[#This Row],[haMSRP]]-HearingAids[[#This Row],[Discount Amount 1]]</f>
        <v>3362.5</v>
      </c>
      <c r="H41" s="53">
        <v>7050</v>
      </c>
      <c r="I41" s="65" t="s">
        <v>129</v>
      </c>
      <c r="J41" s="49">
        <f>(HearingAids[[#This Row],[haMSRP]]-HearingAids[[#This Row],[Discount Amount 1]])-(HearingAids[[#This Row],[haNetPriceBinural]]-HearingAids[[#This Row],[chargerPrice]])/2</f>
        <v>0</v>
      </c>
      <c r="K41" s="49">
        <f>HearingAids[[#This Row],[HAListPrice]]-HearingAids[[#This Row],[Discount Amount 2]]</f>
        <v>3362.5</v>
      </c>
      <c r="L41" s="53">
        <v>7050</v>
      </c>
      <c r="M41" s="49"/>
      <c r="N41" s="49"/>
      <c r="O41" s="49"/>
      <c r="P41" s="49"/>
      <c r="Q41" s="50">
        <v>1</v>
      </c>
      <c r="R41" s="49" t="s">
        <v>52</v>
      </c>
      <c r="S41" s="49">
        <v>325</v>
      </c>
      <c r="T41" s="6" t="s">
        <v>55</v>
      </c>
      <c r="U41" s="49">
        <v>0</v>
      </c>
      <c r="V41" s="59" t="s">
        <v>56</v>
      </c>
      <c r="Y41" s="16"/>
      <c r="Z41" s="16"/>
      <c r="AA41" s="16"/>
      <c r="AB41"/>
      <c r="AC41"/>
      <c r="AD41"/>
      <c r="AE41"/>
    </row>
    <row r="42" spans="1:31" ht="12.75" hidden="1">
      <c r="A42" s="45" t="s">
        <v>59</v>
      </c>
      <c r="B42" s="45" t="s">
        <v>60</v>
      </c>
      <c r="C42" s="46">
        <f>(HearingAids[[#This Row],[haMSRP]]*2)+HearingAids[[#This Row],[chargerPrice]]</f>
        <v>9683</v>
      </c>
      <c r="D42" s="47">
        <v>4679</v>
      </c>
      <c r="E42" s="47" t="s">
        <v>10</v>
      </c>
      <c r="F42" s="47">
        <f>HearingAids[[#This Row],[haMSRP]]-((HearingAids[[#This Row],[ListPriceBinural]]-HearingAids[[#This Row],[chargerPrice]])/2)</f>
        <v>666.5</v>
      </c>
      <c r="G42" s="47">
        <f>HearingAids[[#This Row],[haMSRP]]-HearingAids[[#This Row],[Discount Amount 1]]</f>
        <v>4012.5</v>
      </c>
      <c r="H42" s="53">
        <v>8350</v>
      </c>
      <c r="I42" s="65" t="s">
        <v>129</v>
      </c>
      <c r="J42" s="49">
        <f>(HearingAids[[#This Row],[haMSRP]]-HearingAids[[#This Row],[Discount Amount 1]])-(HearingAids[[#This Row],[haNetPriceBinural]]-HearingAids[[#This Row],[chargerPrice]])/2</f>
        <v>0</v>
      </c>
      <c r="K42" s="49">
        <f>HearingAids[[#This Row],[HAListPrice]]-HearingAids[[#This Row],[Discount Amount 2]]</f>
        <v>4012.5</v>
      </c>
      <c r="L42" s="53">
        <v>8350</v>
      </c>
      <c r="M42" s="49"/>
      <c r="N42" s="49"/>
      <c r="O42" s="49"/>
      <c r="P42" s="49"/>
      <c r="Q42" s="50">
        <v>1</v>
      </c>
      <c r="R42" s="49" t="s">
        <v>52</v>
      </c>
      <c r="S42" s="49">
        <v>325</v>
      </c>
      <c r="T42" s="6" t="s">
        <v>55</v>
      </c>
      <c r="U42" s="49">
        <v>0</v>
      </c>
      <c r="V42" s="59" t="s">
        <v>56</v>
      </c>
      <c r="Y42" s="16"/>
      <c r="Z42" s="16"/>
      <c r="AA42" s="16"/>
      <c r="AB42"/>
      <c r="AC42"/>
      <c r="AD42"/>
      <c r="AE42"/>
    </row>
    <row r="43" spans="1:31" ht="12.75" hidden="1">
      <c r="A43" s="45" t="s">
        <v>130</v>
      </c>
      <c r="B43" s="45" t="s">
        <v>131</v>
      </c>
      <c r="C43" s="46">
        <f>(HearingAids[[#This Row],[haMSRP]]*2)+HearingAids[[#This Row],[chargerPrice]]</f>
        <v>11863</v>
      </c>
      <c r="D43" s="49">
        <v>5819</v>
      </c>
      <c r="E43" s="49" t="s">
        <v>10</v>
      </c>
      <c r="F43" s="47">
        <f>HearingAids[[#This Row],[haMSRP]]-((HearingAids[[#This Row],[ListPriceBinural]]-HearingAids[[#This Row],[chargerPrice]])/2)</f>
        <v>1206.5</v>
      </c>
      <c r="G43" s="47">
        <f>HearingAids[[#This Row],[haMSRP]]-HearingAids[[#This Row],[Discount Amount 1]]</f>
        <v>4612.5</v>
      </c>
      <c r="H43" s="53">
        <v>9450</v>
      </c>
      <c r="I43" s="90" t="s">
        <v>129</v>
      </c>
      <c r="J43" s="49"/>
      <c r="K43" s="49">
        <f>HearingAids[[#This Row],[HAListPrice]]-HearingAids[[#This Row],[Discount Amount 2]]</f>
        <v>4612.5</v>
      </c>
      <c r="L43" s="53">
        <v>9450</v>
      </c>
      <c r="M43" s="49"/>
      <c r="N43" s="49"/>
      <c r="O43" s="49"/>
      <c r="P43" s="49"/>
      <c r="Q43" s="50">
        <v>1</v>
      </c>
      <c r="R43" s="85" t="s">
        <v>49</v>
      </c>
      <c r="S43" s="86">
        <v>225</v>
      </c>
      <c r="T43" s="52" t="s">
        <v>55</v>
      </c>
      <c r="U43" s="52">
        <v>0</v>
      </c>
      <c r="V43" s="52" t="s">
        <v>56</v>
      </c>
      <c r="Y43" s="16"/>
      <c r="Z43" s="16"/>
      <c r="AA43" s="16"/>
      <c r="AB43"/>
      <c r="AC43"/>
      <c r="AD43"/>
      <c r="AE43"/>
    </row>
    <row r="44" spans="1:31" ht="12.75" hidden="1">
      <c r="A44" s="45" t="s">
        <v>132</v>
      </c>
      <c r="B44" s="45" t="s">
        <v>133</v>
      </c>
      <c r="C44" s="46">
        <f>(HearingAids[[#This Row],[haMSRP]]*2)+HearingAids[[#This Row],[chargerPrice]]</f>
        <v>7603</v>
      </c>
      <c r="D44" s="49">
        <v>3689</v>
      </c>
      <c r="E44" s="49" t="s">
        <v>10</v>
      </c>
      <c r="F44" s="47">
        <f>HearingAids[[#This Row],[haMSRP]]-((HearingAids[[#This Row],[ListPriceBinural]]-HearingAids[[#This Row],[chargerPrice]])/2)</f>
        <v>276.5</v>
      </c>
      <c r="G44" s="47">
        <f>HearingAids[[#This Row],[haMSRP]]-HearingAids[[#This Row],[Discount Amount 1]]</f>
        <v>3412.5</v>
      </c>
      <c r="H44" s="53">
        <v>7050</v>
      </c>
      <c r="I44" s="90" t="s">
        <v>129</v>
      </c>
      <c r="J44" s="49"/>
      <c r="K44" s="49">
        <f>HearingAids[[#This Row],[HAListPrice]]-HearingAids[[#This Row],[Discount Amount 2]]</f>
        <v>3412.5</v>
      </c>
      <c r="L44" s="53">
        <v>7050</v>
      </c>
      <c r="M44" s="49"/>
      <c r="N44" s="49"/>
      <c r="O44" s="49"/>
      <c r="P44" s="49"/>
      <c r="Q44" s="50">
        <v>1</v>
      </c>
      <c r="R44" s="85" t="s">
        <v>49</v>
      </c>
      <c r="S44" s="86">
        <v>225</v>
      </c>
      <c r="T44" s="52" t="s">
        <v>55</v>
      </c>
      <c r="U44" s="52">
        <v>0</v>
      </c>
      <c r="V44" s="52" t="s">
        <v>56</v>
      </c>
      <c r="Y44" s="16"/>
      <c r="Z44" s="16"/>
      <c r="AA44" s="16"/>
      <c r="AB44"/>
      <c r="AC44"/>
      <c r="AD44"/>
      <c r="AE44"/>
    </row>
    <row r="45" spans="1:31" ht="12.75" hidden="1">
      <c r="A45" s="45" t="s">
        <v>134</v>
      </c>
      <c r="B45" s="45" t="s">
        <v>135</v>
      </c>
      <c r="C45" s="46">
        <f>(HearingAids[[#This Row],[haMSRP]]*2)+HearingAids[[#This Row],[chargerPrice]]</f>
        <v>9583</v>
      </c>
      <c r="D45" s="49">
        <v>4679</v>
      </c>
      <c r="E45" s="49" t="s">
        <v>10</v>
      </c>
      <c r="F45" s="47">
        <f>HearingAids[[#This Row],[haMSRP]]-((HearingAids[[#This Row],[ListPriceBinural]]-HearingAids[[#This Row],[chargerPrice]])/2)</f>
        <v>616.5</v>
      </c>
      <c r="G45" s="47">
        <f>HearingAids[[#This Row],[haMSRP]]-HearingAids[[#This Row],[Discount Amount 1]]</f>
        <v>4062.5</v>
      </c>
      <c r="H45" s="53">
        <v>8350</v>
      </c>
      <c r="I45" s="90" t="s">
        <v>129</v>
      </c>
      <c r="J45" s="49"/>
      <c r="K45" s="49">
        <f>HearingAids[[#This Row],[HAListPrice]]-HearingAids[[#This Row],[Discount Amount 2]]</f>
        <v>4062.5</v>
      </c>
      <c r="L45" s="53">
        <v>8350</v>
      </c>
      <c r="M45" s="49"/>
      <c r="N45" s="49"/>
      <c r="O45" s="49"/>
      <c r="P45" s="49"/>
      <c r="Q45" s="50">
        <v>1</v>
      </c>
      <c r="R45" s="85" t="s">
        <v>49</v>
      </c>
      <c r="S45" s="86">
        <v>225</v>
      </c>
      <c r="T45" s="52" t="s">
        <v>55</v>
      </c>
      <c r="U45" s="52">
        <v>0</v>
      </c>
      <c r="V45" s="52" t="s">
        <v>56</v>
      </c>
      <c r="Y45" s="16"/>
      <c r="Z45" s="16"/>
      <c r="AA45" s="16"/>
      <c r="AB45"/>
      <c r="AC45"/>
      <c r="AD45"/>
      <c r="AE45"/>
    </row>
    <row r="46" spans="1:31" ht="12.75" hidden="1">
      <c r="A46" s="45" t="s">
        <v>53</v>
      </c>
      <c r="B46" s="45" t="s">
        <v>54</v>
      </c>
      <c r="C46" s="46">
        <f>(HearingAids[[#This Row],[haMSRP]]*2)+HearingAids[[#This Row],[chargerPrice]]</f>
        <v>11963</v>
      </c>
      <c r="D46" s="47">
        <v>5819</v>
      </c>
      <c r="E46" s="47" t="s">
        <v>10</v>
      </c>
      <c r="F46" s="47">
        <f>HearingAids[[#This Row],[haMSRP]]-((HearingAids[[#This Row],[ListPriceBinural]]-HearingAids[[#This Row],[chargerPrice]])/2)</f>
        <v>1256.5</v>
      </c>
      <c r="G46" s="47">
        <f>HearingAids[[#This Row],[haMSRP]]-HearingAids[[#This Row],[Discount Amount 1]]</f>
        <v>4562.5</v>
      </c>
      <c r="H46" s="40">
        <v>9450</v>
      </c>
      <c r="I46" s="48" t="s">
        <v>136</v>
      </c>
      <c r="J46" s="49">
        <f>(HearingAids[[#This Row],[haMSRP]]-HearingAids[[#This Row],[Discount Amount 1]])-(HearingAids[[#This Row],[haNetPriceBinural]]-HearingAids[[#This Row],[chargerPrice]])/2</f>
        <v>750</v>
      </c>
      <c r="K46" s="49">
        <f>HearingAids[[#This Row],[HAListPrice]]-HearingAids[[#This Row],[Discount Amount 2]]</f>
        <v>3812.5</v>
      </c>
      <c r="L46" s="56">
        <v>7950</v>
      </c>
      <c r="M46" s="49"/>
      <c r="N46" s="49"/>
      <c r="O46" s="49"/>
      <c r="P46" s="49"/>
      <c r="Q46" s="50">
        <v>1</v>
      </c>
      <c r="R46" s="50" t="s">
        <v>52</v>
      </c>
      <c r="S46" s="86">
        <v>325</v>
      </c>
      <c r="T46" s="51" t="s">
        <v>55</v>
      </c>
      <c r="U46" s="52">
        <v>0</v>
      </c>
      <c r="V46" s="51" t="s">
        <v>56</v>
      </c>
      <c r="Y46" s="16"/>
      <c r="Z46" s="16"/>
      <c r="AA46" s="16"/>
      <c r="AB46"/>
      <c r="AC46"/>
      <c r="AD46"/>
      <c r="AE46"/>
    </row>
    <row r="47" spans="1:31" ht="12.75" hidden="1">
      <c r="A47" s="45" t="s">
        <v>57</v>
      </c>
      <c r="B47" s="45" t="s">
        <v>58</v>
      </c>
      <c r="C47" s="46">
        <f>(HearingAids[[#This Row],[haMSRP]]*2)+HearingAids[[#This Row],[chargerPrice]]</f>
        <v>7703</v>
      </c>
      <c r="D47" s="47">
        <v>3689</v>
      </c>
      <c r="E47" s="47" t="s">
        <v>10</v>
      </c>
      <c r="F47" s="47">
        <f>HearingAids[[#This Row],[haMSRP]]-((HearingAids[[#This Row],[ListPriceBinural]]-HearingAids[[#This Row],[chargerPrice]])/2)</f>
        <v>326.5</v>
      </c>
      <c r="G47" s="47">
        <f>HearingAids[[#This Row],[haMSRP]]-HearingAids[[#This Row],[Discount Amount 1]]</f>
        <v>3362.5</v>
      </c>
      <c r="H47" s="40">
        <v>7050</v>
      </c>
      <c r="I47" s="48" t="s">
        <v>137</v>
      </c>
      <c r="J47" s="49">
        <f>(HearingAids[[#This Row],[haMSRP]]-HearingAids[[#This Row],[Discount Amount 1]])-(HearingAids[[#This Row],[haNetPriceBinural]]-HearingAids[[#This Row],[chargerPrice]])/2</f>
        <v>700</v>
      </c>
      <c r="K47" s="49">
        <f>HearingAids[[#This Row],[HAListPrice]]-HearingAids[[#This Row],[Discount Amount 2]]</f>
        <v>2662.5</v>
      </c>
      <c r="L47" s="56">
        <v>5650</v>
      </c>
      <c r="M47" s="49"/>
      <c r="N47" s="49"/>
      <c r="O47" s="49"/>
      <c r="P47" s="49"/>
      <c r="Q47" s="50">
        <v>1</v>
      </c>
      <c r="R47" s="50" t="s">
        <v>52</v>
      </c>
      <c r="S47" s="86">
        <v>325</v>
      </c>
      <c r="T47" s="51" t="s">
        <v>55</v>
      </c>
      <c r="U47" s="52">
        <v>0</v>
      </c>
      <c r="V47" s="51" t="s">
        <v>56</v>
      </c>
      <c r="Y47" s="16"/>
      <c r="Z47" s="16"/>
      <c r="AA47" s="16"/>
      <c r="AB47"/>
      <c r="AC47"/>
      <c r="AD47"/>
      <c r="AE47"/>
    </row>
    <row r="48" spans="1:31" ht="12.75" hidden="1">
      <c r="A48" s="45" t="s">
        <v>59</v>
      </c>
      <c r="B48" s="45" t="s">
        <v>60</v>
      </c>
      <c r="C48" s="46">
        <f>(HearingAids[[#This Row],[haMSRP]]*2)+HearingAids[[#This Row],[chargerPrice]]</f>
        <v>9683</v>
      </c>
      <c r="D48" s="47">
        <v>4679</v>
      </c>
      <c r="E48" s="47" t="s">
        <v>10</v>
      </c>
      <c r="F48" s="47">
        <f>HearingAids[[#This Row],[haMSRP]]-((HearingAids[[#This Row],[ListPriceBinural]]-HearingAids[[#This Row],[chargerPrice]])/2)</f>
        <v>666.5</v>
      </c>
      <c r="G48" s="47">
        <f>HearingAids[[#This Row],[haMSRP]]-HearingAids[[#This Row],[Discount Amount 1]]</f>
        <v>4012.5</v>
      </c>
      <c r="H48" s="40">
        <v>8350</v>
      </c>
      <c r="I48" s="48" t="s">
        <v>138</v>
      </c>
      <c r="J48" s="49">
        <f>(HearingAids[[#This Row],[haMSRP]]-HearingAids[[#This Row],[Discount Amount 1]])-(HearingAids[[#This Row],[haNetPriceBinural]]-HearingAids[[#This Row],[chargerPrice]])/2</f>
        <v>700</v>
      </c>
      <c r="K48" s="49">
        <f>HearingAids[[#This Row],[HAListPrice]]-HearingAids[[#This Row],[Discount Amount 2]]</f>
        <v>3312.5</v>
      </c>
      <c r="L48" s="56">
        <v>6950</v>
      </c>
      <c r="M48" s="49"/>
      <c r="N48" s="49"/>
      <c r="O48" s="49"/>
      <c r="P48" s="49"/>
      <c r="Q48" s="50">
        <v>1</v>
      </c>
      <c r="R48" s="50" t="s">
        <v>52</v>
      </c>
      <c r="S48" s="86">
        <v>325</v>
      </c>
      <c r="T48" s="51" t="s">
        <v>55</v>
      </c>
      <c r="U48" s="52">
        <v>0</v>
      </c>
      <c r="V48" s="51" t="s">
        <v>56</v>
      </c>
      <c r="Y48" s="16"/>
      <c r="Z48" s="16"/>
      <c r="AA48" s="16"/>
      <c r="AB48"/>
      <c r="AC48"/>
      <c r="AD48"/>
      <c r="AE48"/>
    </row>
    <row r="49" spans="1:32" ht="12.75" hidden="1">
      <c r="A49" s="45" t="s">
        <v>139</v>
      </c>
      <c r="B49" s="45" t="s">
        <v>140</v>
      </c>
      <c r="C49" s="46">
        <f>(HearingAids[[#This Row],[haMSRP]]*2)+HearingAids[[#This Row],[chargerPrice]]</f>
        <v>11638</v>
      </c>
      <c r="D49" s="47">
        <v>5819</v>
      </c>
      <c r="E49" s="47" t="s">
        <v>10</v>
      </c>
      <c r="F49" s="47">
        <f>HearingAids[[#This Row],[haMSRP]]-((HearingAids[[#This Row],[ListPriceBinural]]-HearingAids[[#This Row],[chargerPrice]])/2)</f>
        <v>1094</v>
      </c>
      <c r="G49" s="47">
        <f>HearingAids[[#This Row],[haMSRP]]-HearingAids[[#This Row],[Discount Amount 1]]</f>
        <v>4725</v>
      </c>
      <c r="H49" s="53">
        <v>9450</v>
      </c>
      <c r="I49" s="65" t="s">
        <v>141</v>
      </c>
      <c r="J49" s="49">
        <f>(HearingAids[[#This Row],[haMSRP]]-HearingAids[[#This Row],[Discount Amount 1]])-(HearingAids[[#This Row],[haNetPriceBinural]]-HearingAids[[#This Row],[chargerPrice]])/2</f>
        <v>0</v>
      </c>
      <c r="K49" s="49">
        <f>HearingAids[[#This Row],[HAListPrice]]-HearingAids[[#This Row],[Discount Amount 2]]</f>
        <v>4725</v>
      </c>
      <c r="L49" s="53">
        <v>9450</v>
      </c>
      <c r="M49" s="49"/>
      <c r="N49" s="49"/>
      <c r="O49" s="49"/>
      <c r="P49" s="49"/>
      <c r="Q49" s="50">
        <v>1</v>
      </c>
      <c r="R49" s="49" t="s">
        <v>46</v>
      </c>
      <c r="S49" s="49">
        <v>0</v>
      </c>
      <c r="T49" s="52" t="s">
        <v>74</v>
      </c>
      <c r="U49" s="4">
        <v>0</v>
      </c>
      <c r="V49" s="59" t="s">
        <v>56</v>
      </c>
      <c r="W49" s="49"/>
      <c r="Y49" s="16"/>
      <c r="Z49" s="16"/>
      <c r="AA49" s="16"/>
      <c r="AB49"/>
      <c r="AC49"/>
      <c r="AD49"/>
      <c r="AE49"/>
    </row>
    <row r="50" spans="1:32" ht="12.75" hidden="1">
      <c r="A50" s="45" t="s">
        <v>142</v>
      </c>
      <c r="B50" s="45" t="s">
        <v>143</v>
      </c>
      <c r="C50" s="46">
        <f>(HearingAids[[#This Row],[haMSRP]]*2)+HearingAids[[#This Row],[chargerPrice]]</f>
        <v>11638</v>
      </c>
      <c r="D50" s="47">
        <v>5819</v>
      </c>
      <c r="E50" s="47" t="s">
        <v>10</v>
      </c>
      <c r="F50" s="47">
        <f>HearingAids[[#This Row],[haMSRP]]-((HearingAids[[#This Row],[ListPriceBinural]]-HearingAids[[#This Row],[chargerPrice]])/2)</f>
        <v>1094</v>
      </c>
      <c r="G50" s="47">
        <f>HearingAids[[#This Row],[haMSRP]]-HearingAids[[#This Row],[Discount Amount 1]]</f>
        <v>4725</v>
      </c>
      <c r="H50" s="53">
        <v>9450</v>
      </c>
      <c r="I50" s="65" t="s">
        <v>141</v>
      </c>
      <c r="J50" s="49">
        <f>(HearingAids[[#This Row],[haMSRP]]-HearingAids[[#This Row],[Discount Amount 1]])-(HearingAids[[#This Row],[haNetPriceBinural]]-HearingAids[[#This Row],[chargerPrice]])/2</f>
        <v>0</v>
      </c>
      <c r="K50" s="49">
        <f>HearingAids[[#This Row],[HAListPrice]]-HearingAids[[#This Row],[Discount Amount 2]]</f>
        <v>4725</v>
      </c>
      <c r="L50" s="53">
        <v>9450</v>
      </c>
      <c r="M50" s="49"/>
      <c r="N50" s="49"/>
      <c r="O50" s="49"/>
      <c r="P50" s="49"/>
      <c r="Q50" s="50">
        <v>1</v>
      </c>
      <c r="R50" s="49" t="s">
        <v>46</v>
      </c>
      <c r="S50" s="49">
        <v>0</v>
      </c>
      <c r="T50" s="52" t="s">
        <v>74</v>
      </c>
      <c r="U50" s="4">
        <v>0</v>
      </c>
      <c r="V50" s="59" t="s">
        <v>56</v>
      </c>
      <c r="W50" s="49"/>
      <c r="Y50" s="16"/>
      <c r="Z50" s="16"/>
      <c r="AA50" s="16"/>
      <c r="AB50"/>
      <c r="AC50"/>
      <c r="AD50"/>
      <c r="AE50"/>
    </row>
    <row r="51" spans="1:32" ht="12.75" hidden="1">
      <c r="A51" s="45" t="s">
        <v>144</v>
      </c>
      <c r="B51" s="45" t="s">
        <v>145</v>
      </c>
      <c r="C51" s="46">
        <f>(HearingAids[[#This Row],[haMSRP]]*2)+HearingAids[[#This Row],[chargerPrice]]</f>
        <v>7378</v>
      </c>
      <c r="D51" s="47">
        <v>3689</v>
      </c>
      <c r="E51" s="47" t="s">
        <v>10</v>
      </c>
      <c r="F51" s="47">
        <f>HearingAids[[#This Row],[haMSRP]]-((HearingAids[[#This Row],[ListPriceBinural]]-HearingAids[[#This Row],[chargerPrice]])/2)</f>
        <v>164</v>
      </c>
      <c r="G51" s="47">
        <f>HearingAids[[#This Row],[haMSRP]]-HearingAids[[#This Row],[Discount Amount 1]]</f>
        <v>3525</v>
      </c>
      <c r="H51" s="53">
        <v>7050</v>
      </c>
      <c r="I51" s="65" t="s">
        <v>141</v>
      </c>
      <c r="J51" s="49">
        <f>(HearingAids[[#This Row],[haMSRP]]-HearingAids[[#This Row],[Discount Amount 1]])-(HearingAids[[#This Row],[haNetPriceBinural]]-HearingAids[[#This Row],[chargerPrice]])/2</f>
        <v>0</v>
      </c>
      <c r="K51" s="49">
        <f>HearingAids[[#This Row],[HAListPrice]]-HearingAids[[#This Row],[Discount Amount 2]]</f>
        <v>3525</v>
      </c>
      <c r="L51" s="53">
        <v>7050</v>
      </c>
      <c r="M51" s="49"/>
      <c r="N51" s="49"/>
      <c r="O51" s="49"/>
      <c r="P51" s="49"/>
      <c r="Q51" s="50">
        <v>1</v>
      </c>
      <c r="R51" s="49" t="s">
        <v>46</v>
      </c>
      <c r="S51" s="49">
        <v>0</v>
      </c>
      <c r="T51" s="52" t="s">
        <v>74</v>
      </c>
      <c r="U51" s="4">
        <v>0</v>
      </c>
      <c r="V51" s="59" t="s">
        <v>56</v>
      </c>
      <c r="W51" s="49"/>
      <c r="Y51" s="16"/>
      <c r="Z51" s="16"/>
      <c r="AA51" s="16"/>
      <c r="AB51"/>
      <c r="AC51"/>
      <c r="AD51"/>
      <c r="AE51"/>
    </row>
    <row r="52" spans="1:32" ht="12.75" hidden="1">
      <c r="A52" s="45" t="s">
        <v>146</v>
      </c>
      <c r="B52" s="45" t="s">
        <v>147</v>
      </c>
      <c r="C52" s="46">
        <f>(HearingAids[[#This Row],[haMSRP]]*2)+HearingAids[[#This Row],[chargerPrice]]</f>
        <v>7378</v>
      </c>
      <c r="D52" s="47">
        <v>3689</v>
      </c>
      <c r="E52" s="47" t="s">
        <v>10</v>
      </c>
      <c r="F52" s="47">
        <f>HearingAids[[#This Row],[haMSRP]]-((HearingAids[[#This Row],[ListPriceBinural]]-HearingAids[[#This Row],[chargerPrice]])/2)</f>
        <v>164</v>
      </c>
      <c r="G52" s="47">
        <f>HearingAids[[#This Row],[haMSRP]]-HearingAids[[#This Row],[Discount Amount 1]]</f>
        <v>3525</v>
      </c>
      <c r="H52" s="53">
        <v>7050</v>
      </c>
      <c r="I52" s="65" t="s">
        <v>141</v>
      </c>
      <c r="J52" s="49">
        <f>(HearingAids[[#This Row],[haMSRP]]-HearingAids[[#This Row],[Discount Amount 1]])-(HearingAids[[#This Row],[haNetPriceBinural]]-HearingAids[[#This Row],[chargerPrice]])/2</f>
        <v>0</v>
      </c>
      <c r="K52" s="49">
        <f>HearingAids[[#This Row],[HAListPrice]]-HearingAids[[#This Row],[Discount Amount 2]]</f>
        <v>3525</v>
      </c>
      <c r="L52" s="53">
        <v>7050</v>
      </c>
      <c r="M52" s="49"/>
      <c r="N52" s="49"/>
      <c r="O52" s="49"/>
      <c r="P52" s="49"/>
      <c r="Q52" s="50">
        <v>1</v>
      </c>
      <c r="R52" s="49" t="s">
        <v>46</v>
      </c>
      <c r="S52" s="49">
        <v>0</v>
      </c>
      <c r="T52" s="52" t="s">
        <v>74</v>
      </c>
      <c r="U52" s="4">
        <v>0</v>
      </c>
      <c r="V52" s="59" t="s">
        <v>56</v>
      </c>
      <c r="W52" s="49"/>
      <c r="Y52" s="16"/>
      <c r="Z52" s="16"/>
      <c r="AA52" s="16"/>
      <c r="AB52"/>
      <c r="AC52"/>
      <c r="AD52"/>
      <c r="AE52"/>
    </row>
    <row r="53" spans="1:32" ht="12.75" hidden="1">
      <c r="A53" s="45" t="s">
        <v>148</v>
      </c>
      <c r="B53" s="45" t="s">
        <v>149</v>
      </c>
      <c r="C53" s="46">
        <f>(HearingAids[[#This Row],[haMSRP]]*2)+HearingAids[[#This Row],[chargerPrice]]</f>
        <v>9358</v>
      </c>
      <c r="D53" s="47">
        <v>4679</v>
      </c>
      <c r="E53" s="47" t="s">
        <v>10</v>
      </c>
      <c r="F53" s="47">
        <f>HearingAids[[#This Row],[haMSRP]]-((HearingAids[[#This Row],[ListPriceBinural]]-HearingAids[[#This Row],[chargerPrice]])/2)</f>
        <v>504</v>
      </c>
      <c r="G53" s="47">
        <f>HearingAids[[#This Row],[haMSRP]]-HearingAids[[#This Row],[Discount Amount 1]]</f>
        <v>4175</v>
      </c>
      <c r="H53" s="53">
        <v>8350</v>
      </c>
      <c r="I53" s="65" t="s">
        <v>141</v>
      </c>
      <c r="J53" s="49">
        <f>(HearingAids[[#This Row],[haMSRP]]-HearingAids[[#This Row],[Discount Amount 1]])-(HearingAids[[#This Row],[haNetPriceBinural]]-HearingAids[[#This Row],[chargerPrice]])/2</f>
        <v>0</v>
      </c>
      <c r="K53" s="49">
        <f>HearingAids[[#This Row],[HAListPrice]]-HearingAids[[#This Row],[Discount Amount 2]]</f>
        <v>4175</v>
      </c>
      <c r="L53" s="53">
        <v>8350</v>
      </c>
      <c r="M53" s="49"/>
      <c r="N53" s="49"/>
      <c r="O53" s="49"/>
      <c r="P53" s="49"/>
      <c r="Q53" s="50">
        <v>1</v>
      </c>
      <c r="R53" s="49" t="s">
        <v>46</v>
      </c>
      <c r="S53" s="49">
        <v>0</v>
      </c>
      <c r="T53" s="52" t="s">
        <v>74</v>
      </c>
      <c r="U53" s="4">
        <v>0</v>
      </c>
      <c r="V53" s="59" t="s">
        <v>56</v>
      </c>
      <c r="W53" s="49"/>
      <c r="Y53" s="16"/>
      <c r="Z53" s="16"/>
      <c r="AA53" s="16"/>
      <c r="AB53"/>
      <c r="AC53"/>
      <c r="AD53"/>
      <c r="AE53"/>
    </row>
    <row r="54" spans="1:32" ht="12.75" hidden="1">
      <c r="A54" s="45" t="s">
        <v>150</v>
      </c>
      <c r="B54" s="45" t="s">
        <v>151</v>
      </c>
      <c r="C54" s="46">
        <f>(HearingAids[[#This Row],[haMSRP]]*2)+HearingAids[[#This Row],[chargerPrice]]</f>
        <v>9358</v>
      </c>
      <c r="D54" s="47">
        <v>4679</v>
      </c>
      <c r="E54" s="47" t="s">
        <v>10</v>
      </c>
      <c r="F54" s="47">
        <f>HearingAids[[#This Row],[haMSRP]]-((HearingAids[[#This Row],[ListPriceBinural]]-HearingAids[[#This Row],[chargerPrice]])/2)</f>
        <v>504</v>
      </c>
      <c r="G54" s="47">
        <f>HearingAids[[#This Row],[haMSRP]]-HearingAids[[#This Row],[Discount Amount 1]]</f>
        <v>4175</v>
      </c>
      <c r="H54" s="53">
        <v>8350</v>
      </c>
      <c r="I54" s="65" t="s">
        <v>141</v>
      </c>
      <c r="J54" s="49">
        <f>(HearingAids[[#This Row],[haMSRP]]-HearingAids[[#This Row],[Discount Amount 1]])-(HearingAids[[#This Row],[haNetPriceBinural]]-HearingAids[[#This Row],[chargerPrice]])/2</f>
        <v>0</v>
      </c>
      <c r="K54" s="49">
        <f>HearingAids[[#This Row],[HAListPrice]]-HearingAids[[#This Row],[Discount Amount 2]]</f>
        <v>4175</v>
      </c>
      <c r="L54" s="53">
        <v>8350</v>
      </c>
      <c r="M54" s="49"/>
      <c r="N54" s="49"/>
      <c r="O54" s="49"/>
      <c r="P54" s="49"/>
      <c r="Q54" s="50">
        <v>1</v>
      </c>
      <c r="R54" s="49" t="s">
        <v>46</v>
      </c>
      <c r="S54" s="49">
        <v>0</v>
      </c>
      <c r="T54" s="52" t="s">
        <v>74</v>
      </c>
      <c r="U54" s="4">
        <v>0</v>
      </c>
      <c r="V54" s="59" t="s">
        <v>56</v>
      </c>
      <c r="W54" s="49"/>
      <c r="Y54" s="16"/>
      <c r="Z54" s="16"/>
      <c r="AA54" s="16"/>
      <c r="AB54"/>
      <c r="AC54"/>
      <c r="AD54"/>
      <c r="AE54"/>
    </row>
    <row r="55" spans="1:32" ht="12.75" hidden="1">
      <c r="A55" s="45" t="s">
        <v>43</v>
      </c>
      <c r="B55" s="45" t="s">
        <v>44</v>
      </c>
      <c r="C55" s="46">
        <f>(HearingAids[[#This Row],[haMSRP]]*2)+HearingAids[[#This Row],[chargerPrice]]</f>
        <v>3718</v>
      </c>
      <c r="D55" s="47">
        <v>1859</v>
      </c>
      <c r="E55" s="47" t="s">
        <v>10</v>
      </c>
      <c r="F55" s="47">
        <f>HearingAids[[#This Row],[haMSRP]]-((HearingAids[[#This Row],[ListPriceBinural]]-HearingAids[[#This Row],[chargerPrice]])/2)</f>
        <v>309</v>
      </c>
      <c r="G55" s="47">
        <f>HearingAids[[#This Row],[haMSRP]]-HearingAids[[#This Row],[Discount Amount 1]]</f>
        <v>1550</v>
      </c>
      <c r="H55" s="53">
        <v>3100</v>
      </c>
      <c r="I55" s="65" t="s">
        <v>141</v>
      </c>
      <c r="J55" s="49">
        <f>(HearingAids[[#This Row],[haMSRP]]-HearingAids[[#This Row],[Discount Amount 1]])-(HearingAids[[#This Row],[haNetPriceBinural]]-HearingAids[[#This Row],[chargerPrice]])/2</f>
        <v>0</v>
      </c>
      <c r="K55" s="49">
        <f>HearingAids[[#This Row],[HAListPrice]]-HearingAids[[#This Row],[Discount Amount 2]]</f>
        <v>1550</v>
      </c>
      <c r="L55" s="53">
        <v>3100</v>
      </c>
      <c r="M55" s="49"/>
      <c r="N55" s="49"/>
      <c r="O55" s="49"/>
      <c r="P55" s="49"/>
      <c r="Q55" s="50">
        <v>1</v>
      </c>
      <c r="R55" s="49" t="s">
        <v>46</v>
      </c>
      <c r="S55" s="49">
        <v>0</v>
      </c>
      <c r="T55" s="51" t="s">
        <v>55</v>
      </c>
      <c r="U55" s="52">
        <v>0</v>
      </c>
      <c r="V55" s="51" t="s">
        <v>56</v>
      </c>
      <c r="W55" s="49"/>
      <c r="Y55" s="16"/>
      <c r="Z55" s="16"/>
      <c r="AA55" s="16"/>
      <c r="AB55"/>
      <c r="AC55"/>
      <c r="AD55"/>
      <c r="AE55"/>
    </row>
    <row r="56" spans="1:32" ht="12.75" hidden="1">
      <c r="A56" s="45" t="s">
        <v>47</v>
      </c>
      <c r="B56" s="45" t="s">
        <v>48</v>
      </c>
      <c r="C56" s="46">
        <f>(HearingAids[[#This Row],[haMSRP]]*2)+HearingAids[[#This Row],[chargerPrice]]</f>
        <v>4903</v>
      </c>
      <c r="D56" s="47">
        <v>2339</v>
      </c>
      <c r="E56" s="47" t="s">
        <v>10</v>
      </c>
      <c r="F56" s="47">
        <f>HearingAids[[#This Row],[haMSRP]]-((HearingAids[[#This Row],[ListPriceBinural]]-HearingAids[[#This Row],[chargerPrice]])/2)</f>
        <v>701.5</v>
      </c>
      <c r="G56" s="47">
        <f>HearingAids[[#This Row],[haMSRP]]-HearingAids[[#This Row],[Discount Amount 1]]</f>
        <v>1637.5</v>
      </c>
      <c r="H56" s="54">
        <v>3500</v>
      </c>
      <c r="I56" s="65" t="s">
        <v>141</v>
      </c>
      <c r="J56" s="49">
        <f>(HearingAids[[#This Row],[haMSRP]]-HearingAids[[#This Row],[Discount Amount 1]])-(HearingAids[[#This Row],[haNetPriceBinural]]-HearingAids[[#This Row],[chargerPrice]])/2</f>
        <v>0</v>
      </c>
      <c r="K56" s="49">
        <f>HearingAids[[#This Row],[HAListPrice]]-HearingAids[[#This Row],[Discount Amount 2]]</f>
        <v>1637.5</v>
      </c>
      <c r="L56" s="54">
        <v>3500</v>
      </c>
      <c r="M56" s="86"/>
      <c r="N56" s="86"/>
      <c r="O56" s="86"/>
      <c r="P56" s="49"/>
      <c r="Q56" s="50">
        <v>1</v>
      </c>
      <c r="R56" s="85" t="s">
        <v>49</v>
      </c>
      <c r="S56" s="49">
        <v>225</v>
      </c>
      <c r="T56" s="51" t="s">
        <v>55</v>
      </c>
      <c r="U56" s="52">
        <v>0</v>
      </c>
      <c r="V56" s="51" t="s">
        <v>56</v>
      </c>
      <c r="W56" s="49"/>
      <c r="Y56" s="16"/>
      <c r="Z56" s="16"/>
      <c r="AA56" s="16"/>
      <c r="AB56"/>
      <c r="AC56"/>
      <c r="AD56"/>
      <c r="AE56"/>
    </row>
    <row r="57" spans="1:32" ht="12.75" hidden="1">
      <c r="A57" s="45" t="s">
        <v>50</v>
      </c>
      <c r="B57" s="45" t="s">
        <v>51</v>
      </c>
      <c r="C57" s="46">
        <f>(HearingAids[[#This Row],[haMSRP]]*2)+HearingAids[[#This Row],[chargerPrice]]</f>
        <v>6283</v>
      </c>
      <c r="D57" s="47">
        <v>3029</v>
      </c>
      <c r="E57" s="47" t="s">
        <v>10</v>
      </c>
      <c r="F57" s="47">
        <f>HearingAids[[#This Row],[haMSRP]]-((HearingAids[[#This Row],[ListPriceBinural]]-HearingAids[[#This Row],[chargerPrice]])/2)</f>
        <v>616.5</v>
      </c>
      <c r="G57" s="47">
        <f>HearingAids[[#This Row],[haMSRP]]-HearingAids[[#This Row],[Discount Amount 1]]</f>
        <v>2412.5</v>
      </c>
      <c r="H57" s="53">
        <v>5050</v>
      </c>
      <c r="I57" s="65" t="s">
        <v>141</v>
      </c>
      <c r="J57" s="49">
        <f>(HearingAids[[#This Row],[haMSRP]]-HearingAids[[#This Row],[Discount Amount 1]])-(HearingAids[[#This Row],[haNetPriceBinural]]-HearingAids[[#This Row],[chargerPrice]])/2</f>
        <v>0</v>
      </c>
      <c r="K57" s="49">
        <f>HearingAids[[#This Row],[HAListPrice]]-HearingAids[[#This Row],[Discount Amount 2]]</f>
        <v>2412.5</v>
      </c>
      <c r="L57" s="53">
        <v>5050</v>
      </c>
      <c r="M57" s="49"/>
      <c r="N57" s="49"/>
      <c r="O57" s="49"/>
      <c r="P57" s="49"/>
      <c r="Q57" s="50">
        <v>1</v>
      </c>
      <c r="R57" s="85" t="s">
        <v>49</v>
      </c>
      <c r="S57" s="49">
        <v>225</v>
      </c>
      <c r="T57" s="51" t="s">
        <v>55</v>
      </c>
      <c r="U57" s="52">
        <v>0</v>
      </c>
      <c r="V57" s="51" t="s">
        <v>56</v>
      </c>
      <c r="W57" s="49"/>
      <c r="Y57" s="16"/>
      <c r="Z57" s="16"/>
      <c r="AA57" s="16"/>
      <c r="AB57"/>
      <c r="AC57"/>
      <c r="AD57"/>
      <c r="AE57"/>
    </row>
    <row r="58" spans="1:32" ht="12.75" hidden="1">
      <c r="A58" s="45" t="s">
        <v>53</v>
      </c>
      <c r="B58" s="45" t="s">
        <v>54</v>
      </c>
      <c r="C58" s="46">
        <f>(HearingAids[[#This Row],[haMSRP]]*2)+HearingAids[[#This Row],[chargerPrice]]</f>
        <v>11963</v>
      </c>
      <c r="D58" s="47">
        <v>5819</v>
      </c>
      <c r="E58" s="47" t="s">
        <v>10</v>
      </c>
      <c r="F58" s="47">
        <f>HearingAids[[#This Row],[haMSRP]]-((HearingAids[[#This Row],[ListPriceBinural]]-HearingAids[[#This Row],[chargerPrice]])/2)</f>
        <v>1256.5</v>
      </c>
      <c r="G58" s="47">
        <f>HearingAids[[#This Row],[haMSRP]]-HearingAids[[#This Row],[Discount Amount 1]]</f>
        <v>4562.5</v>
      </c>
      <c r="H58" s="53">
        <v>9450</v>
      </c>
      <c r="I58" s="65" t="s">
        <v>141</v>
      </c>
      <c r="J58" s="49">
        <f>(HearingAids[[#This Row],[haMSRP]]-HearingAids[[#This Row],[Discount Amount 1]])-(HearingAids[[#This Row],[haNetPriceBinural]]-HearingAids[[#This Row],[chargerPrice]])/2</f>
        <v>0</v>
      </c>
      <c r="K58" s="49">
        <f>HearingAids[[#This Row],[HAListPrice]]-HearingAids[[#This Row],[Discount Amount 2]]</f>
        <v>4562.5</v>
      </c>
      <c r="L58" s="53">
        <v>9450</v>
      </c>
      <c r="M58" s="49"/>
      <c r="N58" s="49"/>
      <c r="O58" s="49"/>
      <c r="P58" s="49"/>
      <c r="Q58" s="50">
        <v>1</v>
      </c>
      <c r="R58" s="49" t="s">
        <v>52</v>
      </c>
      <c r="S58" s="49">
        <v>325</v>
      </c>
      <c r="T58" s="51" t="s">
        <v>55</v>
      </c>
      <c r="U58" s="52">
        <v>0</v>
      </c>
      <c r="V58" s="51" t="s">
        <v>56</v>
      </c>
      <c r="W58" s="49"/>
      <c r="Y58" s="16"/>
      <c r="Z58" s="16"/>
      <c r="AA58" s="16"/>
      <c r="AB58"/>
      <c r="AC58"/>
      <c r="AD58"/>
      <c r="AE58"/>
    </row>
    <row r="59" spans="1:32" ht="12.75" hidden="1">
      <c r="A59" s="45" t="s">
        <v>57</v>
      </c>
      <c r="B59" s="45" t="s">
        <v>58</v>
      </c>
      <c r="C59" s="46">
        <f>(HearingAids[[#This Row],[haMSRP]]*2)+HearingAids[[#This Row],[chargerPrice]]</f>
        <v>7703</v>
      </c>
      <c r="D59" s="47">
        <v>3689</v>
      </c>
      <c r="E59" s="47" t="s">
        <v>10</v>
      </c>
      <c r="F59" s="47">
        <f>HearingAids[[#This Row],[haMSRP]]-((HearingAids[[#This Row],[ListPriceBinural]]-HearingAids[[#This Row],[chargerPrice]])/2)</f>
        <v>326.5</v>
      </c>
      <c r="G59" s="47">
        <f>HearingAids[[#This Row],[haMSRP]]-HearingAids[[#This Row],[Discount Amount 1]]</f>
        <v>3362.5</v>
      </c>
      <c r="H59" s="53">
        <v>7050</v>
      </c>
      <c r="I59" s="65" t="s">
        <v>141</v>
      </c>
      <c r="J59" s="49">
        <f>(HearingAids[[#This Row],[haMSRP]]-HearingAids[[#This Row],[Discount Amount 1]])-(HearingAids[[#This Row],[haNetPriceBinural]]-HearingAids[[#This Row],[chargerPrice]])/2</f>
        <v>0</v>
      </c>
      <c r="K59" s="49">
        <f>HearingAids[[#This Row],[HAListPrice]]-HearingAids[[#This Row],[Discount Amount 2]]</f>
        <v>3362.5</v>
      </c>
      <c r="L59" s="53">
        <v>7050</v>
      </c>
      <c r="M59" s="49"/>
      <c r="N59" s="49"/>
      <c r="O59" s="49"/>
      <c r="P59" s="49"/>
      <c r="Q59" s="50">
        <v>1</v>
      </c>
      <c r="R59" s="49" t="s">
        <v>52</v>
      </c>
      <c r="S59" s="49">
        <v>325</v>
      </c>
      <c r="T59" s="51" t="s">
        <v>55</v>
      </c>
      <c r="U59" s="52">
        <v>0</v>
      </c>
      <c r="V59" s="51" t="s">
        <v>56</v>
      </c>
      <c r="W59" s="49"/>
      <c r="Y59" s="16"/>
      <c r="Z59" s="16"/>
      <c r="AA59" s="16"/>
      <c r="AB59"/>
      <c r="AC59"/>
      <c r="AD59"/>
      <c r="AE59"/>
    </row>
    <row r="60" spans="1:32" ht="12.75" hidden="1">
      <c r="A60" s="45" t="s">
        <v>59</v>
      </c>
      <c r="B60" s="45" t="s">
        <v>60</v>
      </c>
      <c r="C60" s="46">
        <f>(HearingAids[[#This Row],[haMSRP]]*2)+HearingAids[[#This Row],[chargerPrice]]</f>
        <v>9683</v>
      </c>
      <c r="D60" s="47">
        <v>4679</v>
      </c>
      <c r="E60" s="47" t="s">
        <v>10</v>
      </c>
      <c r="F60" s="47">
        <f>HearingAids[[#This Row],[haMSRP]]-((HearingAids[[#This Row],[ListPriceBinural]]-HearingAids[[#This Row],[chargerPrice]])/2)</f>
        <v>666.5</v>
      </c>
      <c r="G60" s="47">
        <f>HearingAids[[#This Row],[haMSRP]]-HearingAids[[#This Row],[Discount Amount 1]]</f>
        <v>4012.5</v>
      </c>
      <c r="H60" s="53">
        <v>8350</v>
      </c>
      <c r="I60" s="65" t="s">
        <v>141</v>
      </c>
      <c r="J60" s="49">
        <f>(HearingAids[[#This Row],[haMSRP]]-HearingAids[[#This Row],[Discount Amount 1]])-(HearingAids[[#This Row],[haNetPriceBinural]]-HearingAids[[#This Row],[chargerPrice]])/2</f>
        <v>0</v>
      </c>
      <c r="K60" s="49">
        <f>HearingAids[[#This Row],[HAListPrice]]-HearingAids[[#This Row],[Discount Amount 2]]</f>
        <v>4012.5</v>
      </c>
      <c r="L60" s="53">
        <v>8350</v>
      </c>
      <c r="M60" s="49"/>
      <c r="N60" s="49"/>
      <c r="O60" s="49"/>
      <c r="P60" s="49"/>
      <c r="Q60" s="50">
        <v>1</v>
      </c>
      <c r="R60" s="49" t="s">
        <v>52</v>
      </c>
      <c r="S60" s="49">
        <v>325</v>
      </c>
      <c r="T60" s="51" t="s">
        <v>55</v>
      </c>
      <c r="U60" s="52">
        <v>0</v>
      </c>
      <c r="V60" s="51" t="s">
        <v>56</v>
      </c>
      <c r="W60" s="49"/>
      <c r="Y60" s="16"/>
      <c r="Z60" s="16"/>
      <c r="AA60" s="16"/>
      <c r="AB60" s="15"/>
      <c r="AD60" s="16"/>
      <c r="AE60" s="16"/>
      <c r="AF60" s="16"/>
    </row>
    <row r="61" spans="1:32" ht="12.75" hidden="1">
      <c r="A61" s="45" t="s">
        <v>61</v>
      </c>
      <c r="B61" s="45" t="s">
        <v>62</v>
      </c>
      <c r="C61" s="46">
        <f>(HearingAids[[#This Row],[haMSRP]]*2)+HearingAids[[#This Row],[chargerPrice]]</f>
        <v>3920</v>
      </c>
      <c r="D61" s="47">
        <v>1960</v>
      </c>
      <c r="E61" s="47" t="s">
        <v>10</v>
      </c>
      <c r="F61" s="47">
        <f>HearingAids[[#This Row],[haMSRP]]-((HearingAids[[#This Row],[ListPriceBinural]]-HearingAids[[#This Row],[chargerPrice]])/2)</f>
        <v>410</v>
      </c>
      <c r="G61" s="47">
        <f>HearingAids[[#This Row],[haMSRP]]-HearingAids[[#This Row],[Discount Amount 1]]</f>
        <v>1550</v>
      </c>
      <c r="H61" s="53">
        <v>3100</v>
      </c>
      <c r="I61" s="65" t="s">
        <v>141</v>
      </c>
      <c r="J61" s="49">
        <f>(HearingAids[[#This Row],[haMSRP]]-HearingAids[[#This Row],[Discount Amount 1]])-(HearingAids[[#This Row],[haNetPriceBinural]]-HearingAids[[#This Row],[chargerPrice]])/2</f>
        <v>0</v>
      </c>
      <c r="K61" s="49">
        <f>HearingAids[[#This Row],[HAListPrice]]-HearingAids[[#This Row],[Discount Amount 2]]</f>
        <v>1550</v>
      </c>
      <c r="L61" s="53">
        <v>3100</v>
      </c>
      <c r="M61" s="49"/>
      <c r="N61" s="49"/>
      <c r="O61" s="49"/>
      <c r="P61" s="49"/>
      <c r="Q61" s="50">
        <v>1</v>
      </c>
      <c r="R61" s="49" t="s">
        <v>46</v>
      </c>
      <c r="S61" s="49">
        <v>0</v>
      </c>
      <c r="T61" s="52" t="s">
        <v>63</v>
      </c>
      <c r="U61" s="4">
        <v>0</v>
      </c>
      <c r="V61" s="59" t="s">
        <v>56</v>
      </c>
      <c r="W61" s="49"/>
      <c r="Y61" s="16"/>
      <c r="Z61" s="16"/>
      <c r="AA61" s="16"/>
      <c r="AB61" s="15"/>
      <c r="AD61" s="16"/>
      <c r="AE61" s="16"/>
      <c r="AF61" s="16"/>
    </row>
    <row r="62" spans="1:32" ht="12.75" hidden="1">
      <c r="A62" s="45" t="s">
        <v>64</v>
      </c>
      <c r="B62" s="45" t="s">
        <v>65</v>
      </c>
      <c r="C62" s="46">
        <f>(HearingAids[[#This Row],[haMSRP]]*2)+HearingAids[[#This Row],[chargerPrice]]</f>
        <v>3920</v>
      </c>
      <c r="D62" s="47">
        <v>1960</v>
      </c>
      <c r="E62" s="47" t="s">
        <v>10</v>
      </c>
      <c r="F62" s="47">
        <f>HearingAids[[#This Row],[haMSRP]]-((HearingAids[[#This Row],[ListPriceBinural]]-HearingAids[[#This Row],[chargerPrice]])/2)</f>
        <v>410</v>
      </c>
      <c r="G62" s="47">
        <f>HearingAids[[#This Row],[haMSRP]]-HearingAids[[#This Row],[Discount Amount 1]]</f>
        <v>1550</v>
      </c>
      <c r="H62" s="53">
        <v>3100</v>
      </c>
      <c r="I62" s="65" t="s">
        <v>141</v>
      </c>
      <c r="J62" s="49">
        <f>(HearingAids[[#This Row],[haMSRP]]-HearingAids[[#This Row],[Discount Amount 1]])-(HearingAids[[#This Row],[haNetPriceBinural]]-HearingAids[[#This Row],[chargerPrice]])/2</f>
        <v>0</v>
      </c>
      <c r="K62" s="49">
        <f>HearingAids[[#This Row],[HAListPrice]]-HearingAids[[#This Row],[Discount Amount 2]]</f>
        <v>1550</v>
      </c>
      <c r="L62" s="53">
        <v>3100</v>
      </c>
      <c r="M62" s="49"/>
      <c r="N62" s="49"/>
      <c r="O62" s="49"/>
      <c r="P62" s="49"/>
      <c r="Q62" s="50">
        <v>1</v>
      </c>
      <c r="R62" s="49" t="s">
        <v>46</v>
      </c>
      <c r="S62" s="49">
        <v>0</v>
      </c>
      <c r="T62" s="52" t="s">
        <v>63</v>
      </c>
      <c r="U62" s="4">
        <v>0</v>
      </c>
      <c r="V62" s="59" t="s">
        <v>56</v>
      </c>
      <c r="W62" s="49"/>
      <c r="Y62" s="16"/>
      <c r="Z62" s="16"/>
      <c r="AA62" s="16"/>
      <c r="AD62" s="16"/>
      <c r="AE62" s="16"/>
      <c r="AF62" s="16"/>
    </row>
    <row r="63" spans="1:32" ht="12.75" hidden="1">
      <c r="A63" s="45" t="s">
        <v>66</v>
      </c>
      <c r="B63" s="45" t="s">
        <v>67</v>
      </c>
      <c r="C63" s="46">
        <f>(HearingAids[[#This Row],[haMSRP]]*2)+HearingAids[[#This Row],[chargerPrice]]</f>
        <v>3920</v>
      </c>
      <c r="D63" s="47">
        <v>1960</v>
      </c>
      <c r="E63" s="47" t="s">
        <v>10</v>
      </c>
      <c r="F63" s="47">
        <f>HearingAids[[#This Row],[haMSRP]]-((HearingAids[[#This Row],[ListPriceBinural]]-HearingAids[[#This Row],[chargerPrice]])/2)</f>
        <v>410</v>
      </c>
      <c r="G63" s="47">
        <f>HearingAids[[#This Row],[haMSRP]]-HearingAids[[#This Row],[Discount Amount 1]]</f>
        <v>1550</v>
      </c>
      <c r="H63" s="53">
        <v>3100</v>
      </c>
      <c r="I63" s="65" t="s">
        <v>141</v>
      </c>
      <c r="J63" s="49">
        <f>(HearingAids[[#This Row],[haMSRP]]-HearingAids[[#This Row],[Discount Amount 1]])-(HearingAids[[#This Row],[haNetPriceBinural]]-HearingAids[[#This Row],[chargerPrice]])/2</f>
        <v>0</v>
      </c>
      <c r="K63" s="49">
        <f>HearingAids[[#This Row],[HAListPrice]]-HearingAids[[#This Row],[Discount Amount 2]]</f>
        <v>1550</v>
      </c>
      <c r="L63" s="53">
        <v>3100</v>
      </c>
      <c r="M63" s="49"/>
      <c r="N63" s="49"/>
      <c r="O63" s="49"/>
      <c r="P63" s="49"/>
      <c r="Q63" s="50">
        <v>1</v>
      </c>
      <c r="R63" s="49" t="s">
        <v>46</v>
      </c>
      <c r="S63" s="49">
        <v>0</v>
      </c>
      <c r="T63" s="52" t="s">
        <v>68</v>
      </c>
      <c r="U63" s="4">
        <v>0</v>
      </c>
      <c r="V63" s="52" t="s">
        <v>69</v>
      </c>
      <c r="W63" s="4"/>
      <c r="Y63" s="16"/>
      <c r="Z63" s="16"/>
      <c r="AA63" s="16"/>
      <c r="AD63" s="16"/>
      <c r="AE63" s="16"/>
      <c r="AF63" s="16"/>
    </row>
    <row r="64" spans="1:32" ht="12.75" hidden="1">
      <c r="A64" s="45" t="s">
        <v>70</v>
      </c>
      <c r="B64" s="45" t="s">
        <v>71</v>
      </c>
      <c r="C64" s="46">
        <f>(HearingAids[[#This Row],[haMSRP]]*2)+HearingAids[[#This Row],[chargerPrice]]</f>
        <v>3920</v>
      </c>
      <c r="D64" s="47">
        <v>1960</v>
      </c>
      <c r="E64" s="47" t="s">
        <v>10</v>
      </c>
      <c r="F64" s="47">
        <f>HearingAids[[#This Row],[haMSRP]]-((HearingAids[[#This Row],[ListPriceBinural]]-HearingAids[[#This Row],[chargerPrice]])/2)</f>
        <v>410</v>
      </c>
      <c r="G64" s="47">
        <f>HearingAids[[#This Row],[haMSRP]]-HearingAids[[#This Row],[Discount Amount 1]]</f>
        <v>1550</v>
      </c>
      <c r="H64" s="53">
        <v>3100</v>
      </c>
      <c r="I64" s="65" t="s">
        <v>141</v>
      </c>
      <c r="J64" s="49">
        <f>(HearingAids[[#This Row],[haMSRP]]-HearingAids[[#This Row],[Discount Amount 1]])-(HearingAids[[#This Row],[haNetPriceBinural]]-HearingAids[[#This Row],[chargerPrice]])/2</f>
        <v>0</v>
      </c>
      <c r="K64" s="49">
        <f>HearingAids[[#This Row],[HAListPrice]]-HearingAids[[#This Row],[Discount Amount 2]]</f>
        <v>1550</v>
      </c>
      <c r="L64" s="53">
        <v>3100</v>
      </c>
      <c r="M64" s="49"/>
      <c r="N64" s="49"/>
      <c r="O64" s="49"/>
      <c r="P64" s="49"/>
      <c r="Q64" s="50">
        <v>1</v>
      </c>
      <c r="R64" s="49" t="s">
        <v>46</v>
      </c>
      <c r="S64" s="49">
        <v>0</v>
      </c>
      <c r="T64" s="52" t="s">
        <v>68</v>
      </c>
      <c r="U64" s="4">
        <v>0</v>
      </c>
      <c r="V64" s="52" t="s">
        <v>69</v>
      </c>
      <c r="W64" s="4"/>
      <c r="Y64" s="16"/>
      <c r="Z64" s="16"/>
      <c r="AA64" s="16"/>
      <c r="AB64"/>
      <c r="AC64"/>
      <c r="AD64"/>
      <c r="AE64"/>
    </row>
    <row r="65" spans="1:31" ht="12.75" hidden="1">
      <c r="A65" s="45" t="s">
        <v>72</v>
      </c>
      <c r="B65" s="45" t="s">
        <v>73</v>
      </c>
      <c r="C65" s="46">
        <f>(HearingAids[[#This Row],[haMSRP]]*2)+HearingAids[[#This Row],[chargerPrice]]</f>
        <v>3920</v>
      </c>
      <c r="D65" s="47">
        <v>1960</v>
      </c>
      <c r="E65" s="47" t="s">
        <v>10</v>
      </c>
      <c r="F65" s="47">
        <f>HearingAids[[#This Row],[haMSRP]]-((HearingAids[[#This Row],[ListPriceBinural]]-HearingAids[[#This Row],[chargerPrice]])/2)</f>
        <v>410</v>
      </c>
      <c r="G65" s="47">
        <f>HearingAids[[#This Row],[haMSRP]]-HearingAids[[#This Row],[Discount Amount 1]]</f>
        <v>1550</v>
      </c>
      <c r="H65" s="53">
        <v>3100</v>
      </c>
      <c r="I65" s="65" t="s">
        <v>141</v>
      </c>
      <c r="J65" s="49">
        <f>(HearingAids[[#This Row],[haMSRP]]-HearingAids[[#This Row],[Discount Amount 1]])-(HearingAids[[#This Row],[haNetPriceBinural]]-HearingAids[[#This Row],[chargerPrice]])/2</f>
        <v>0</v>
      </c>
      <c r="K65" s="49">
        <f>HearingAids[[#This Row],[HAListPrice]]-HearingAids[[#This Row],[Discount Amount 2]]</f>
        <v>1550</v>
      </c>
      <c r="L65" s="53">
        <v>3100</v>
      </c>
      <c r="M65" s="49"/>
      <c r="N65" s="49"/>
      <c r="O65" s="49"/>
      <c r="P65" s="49"/>
      <c r="Q65" s="50">
        <v>1</v>
      </c>
      <c r="R65" s="49" t="s">
        <v>46</v>
      </c>
      <c r="S65" s="49">
        <v>0</v>
      </c>
      <c r="T65" s="52" t="s">
        <v>74</v>
      </c>
      <c r="U65" s="4">
        <v>0</v>
      </c>
      <c r="V65" s="59" t="s">
        <v>56</v>
      </c>
      <c r="W65" s="4"/>
      <c r="Y65" s="16"/>
      <c r="Z65" s="16"/>
      <c r="AA65" s="16"/>
      <c r="AB65"/>
      <c r="AC65"/>
      <c r="AD65"/>
      <c r="AE65"/>
    </row>
    <row r="66" spans="1:31" ht="12.75" hidden="1">
      <c r="A66" s="45" t="s">
        <v>75</v>
      </c>
      <c r="B66" s="45" t="s">
        <v>76</v>
      </c>
      <c r="C66" s="46">
        <f>(HearingAids[[#This Row],[haMSRP]]*2)+HearingAids[[#This Row],[chargerPrice]]</f>
        <v>3920</v>
      </c>
      <c r="D66" s="47">
        <v>1960</v>
      </c>
      <c r="E66" s="47" t="s">
        <v>10</v>
      </c>
      <c r="F66" s="47">
        <f>HearingAids[[#This Row],[haMSRP]]-((HearingAids[[#This Row],[ListPriceBinural]]-HearingAids[[#This Row],[chargerPrice]])/2)</f>
        <v>410</v>
      </c>
      <c r="G66" s="47">
        <f>HearingAids[[#This Row],[haMSRP]]-HearingAids[[#This Row],[Discount Amount 1]]</f>
        <v>1550</v>
      </c>
      <c r="H66" s="53">
        <v>3100</v>
      </c>
      <c r="I66" s="65" t="s">
        <v>141</v>
      </c>
      <c r="J66" s="49">
        <f>(HearingAids[[#This Row],[haMSRP]]-HearingAids[[#This Row],[Discount Amount 1]])-(HearingAids[[#This Row],[haNetPriceBinural]]-HearingAids[[#This Row],[chargerPrice]])/2</f>
        <v>0</v>
      </c>
      <c r="K66" s="49">
        <f>HearingAids[[#This Row],[HAListPrice]]-HearingAids[[#This Row],[Discount Amount 2]]</f>
        <v>1550</v>
      </c>
      <c r="L66" s="53">
        <v>3100</v>
      </c>
      <c r="M66" s="49"/>
      <c r="N66" s="49"/>
      <c r="O66" s="49"/>
      <c r="P66" s="49"/>
      <c r="Q66" s="50">
        <v>1</v>
      </c>
      <c r="R66" s="49" t="s">
        <v>46</v>
      </c>
      <c r="S66" s="49">
        <v>0</v>
      </c>
      <c r="T66" s="52" t="s">
        <v>74</v>
      </c>
      <c r="U66" s="4">
        <v>0</v>
      </c>
      <c r="V66" s="59" t="s">
        <v>56</v>
      </c>
      <c r="W66" s="4"/>
      <c r="Y66" s="16"/>
      <c r="Z66" s="16"/>
      <c r="AA66" s="16"/>
      <c r="AB66"/>
      <c r="AC66"/>
      <c r="AD66"/>
      <c r="AE66"/>
    </row>
    <row r="67" spans="1:31" ht="12.75" hidden="1">
      <c r="A67" s="45" t="s">
        <v>77</v>
      </c>
      <c r="B67" s="45" t="s">
        <v>78</v>
      </c>
      <c r="C67" s="46">
        <f>(HearingAids[[#This Row],[haMSRP]]*2)+HearingAids[[#This Row],[chargerPrice]]</f>
        <v>3920</v>
      </c>
      <c r="D67" s="47">
        <v>1960</v>
      </c>
      <c r="E67" s="47" t="s">
        <v>10</v>
      </c>
      <c r="F67" s="47">
        <f>HearingAids[[#This Row],[haMSRP]]-((HearingAids[[#This Row],[ListPriceBinural]]-HearingAids[[#This Row],[chargerPrice]])/2)</f>
        <v>410</v>
      </c>
      <c r="G67" s="47">
        <f>HearingAids[[#This Row],[haMSRP]]-HearingAids[[#This Row],[Discount Amount 1]]</f>
        <v>1550</v>
      </c>
      <c r="H67" s="53">
        <v>3100</v>
      </c>
      <c r="I67" s="65" t="s">
        <v>141</v>
      </c>
      <c r="J67" s="49">
        <f>(HearingAids[[#This Row],[haMSRP]]-HearingAids[[#This Row],[Discount Amount 1]])-(HearingAids[[#This Row],[haNetPriceBinural]]-HearingAids[[#This Row],[chargerPrice]])/2</f>
        <v>0</v>
      </c>
      <c r="K67" s="49">
        <f>HearingAids[[#This Row],[HAListPrice]]-HearingAids[[#This Row],[Discount Amount 2]]</f>
        <v>1550</v>
      </c>
      <c r="L67" s="53">
        <v>3100</v>
      </c>
      <c r="M67" s="49"/>
      <c r="N67" s="49"/>
      <c r="O67" s="49"/>
      <c r="P67" s="49"/>
      <c r="Q67" s="50">
        <v>1</v>
      </c>
      <c r="R67" s="49" t="s">
        <v>46</v>
      </c>
      <c r="S67" s="49">
        <v>0</v>
      </c>
      <c r="T67" s="52" t="s">
        <v>79</v>
      </c>
      <c r="U67" s="4">
        <v>0</v>
      </c>
      <c r="V67" s="52"/>
      <c r="W67" s="4"/>
      <c r="Y67" s="16"/>
      <c r="Z67" s="16"/>
      <c r="AA67" s="16"/>
      <c r="AB67"/>
      <c r="AC67"/>
      <c r="AD67"/>
      <c r="AE67"/>
    </row>
    <row r="68" spans="1:31" ht="12.75" hidden="1">
      <c r="A68" s="45" t="s">
        <v>80</v>
      </c>
      <c r="B68" s="45" t="s">
        <v>81</v>
      </c>
      <c r="C68" s="46">
        <f>(HearingAids[[#This Row],[haMSRP]]*2)+HearingAids[[#This Row],[chargerPrice]]</f>
        <v>3920</v>
      </c>
      <c r="D68" s="47">
        <v>1960</v>
      </c>
      <c r="E68" s="47" t="s">
        <v>10</v>
      </c>
      <c r="F68" s="47">
        <f>HearingAids[[#This Row],[haMSRP]]-((HearingAids[[#This Row],[ListPriceBinural]]-HearingAids[[#This Row],[chargerPrice]])/2)</f>
        <v>410</v>
      </c>
      <c r="G68" s="47">
        <f>HearingAids[[#This Row],[haMSRP]]-HearingAids[[#This Row],[Discount Amount 1]]</f>
        <v>1550</v>
      </c>
      <c r="H68" s="53">
        <v>3100</v>
      </c>
      <c r="I68" s="65" t="s">
        <v>141</v>
      </c>
      <c r="J68" s="49">
        <f>(HearingAids[[#This Row],[haMSRP]]-HearingAids[[#This Row],[Discount Amount 1]])-(HearingAids[[#This Row],[haNetPriceBinural]]-HearingAids[[#This Row],[chargerPrice]])/2</f>
        <v>0</v>
      </c>
      <c r="K68" s="49">
        <f>HearingAids[[#This Row],[HAListPrice]]-HearingAids[[#This Row],[Discount Amount 2]]</f>
        <v>1550</v>
      </c>
      <c r="L68" s="53">
        <v>3100</v>
      </c>
      <c r="M68" s="49"/>
      <c r="N68" s="49"/>
      <c r="O68" s="49"/>
      <c r="P68" s="49"/>
      <c r="Q68" s="50">
        <v>1</v>
      </c>
      <c r="R68" s="49" t="s">
        <v>46</v>
      </c>
      <c r="S68" s="49">
        <v>0</v>
      </c>
      <c r="T68" s="52" t="s">
        <v>79</v>
      </c>
      <c r="U68" s="4">
        <v>0</v>
      </c>
      <c r="V68" s="52"/>
      <c r="W68" s="4"/>
      <c r="Y68" s="16"/>
      <c r="Z68" s="16"/>
      <c r="AA68" s="16"/>
      <c r="AB68"/>
      <c r="AC68"/>
      <c r="AD68"/>
      <c r="AE68"/>
    </row>
    <row r="69" spans="1:31" ht="12.75" hidden="1">
      <c r="A69" s="45" t="s">
        <v>82</v>
      </c>
      <c r="B69" s="45" t="s">
        <v>83</v>
      </c>
      <c r="C69" s="46">
        <f>(HearingAids[[#This Row],[haMSRP]]*2)+HearingAids[[#This Row],[chargerPrice]]</f>
        <v>4690</v>
      </c>
      <c r="D69" s="47">
        <v>2345</v>
      </c>
      <c r="E69" s="47" t="s">
        <v>10</v>
      </c>
      <c r="F69" s="47">
        <f>HearingAids[[#This Row],[haMSRP]]-((HearingAids[[#This Row],[ListPriceBinural]]-HearingAids[[#This Row],[chargerPrice]])/2)</f>
        <v>595</v>
      </c>
      <c r="G69" s="47">
        <f>HearingAids[[#This Row],[haMSRP]]-HearingAids[[#This Row],[Discount Amount 1]]</f>
        <v>1750</v>
      </c>
      <c r="H69" s="53">
        <v>3500</v>
      </c>
      <c r="I69" s="65" t="s">
        <v>141</v>
      </c>
      <c r="J69" s="49">
        <f>(HearingAids[[#This Row],[haMSRP]]-HearingAids[[#This Row],[Discount Amount 1]])-(HearingAids[[#This Row],[haNetPriceBinural]]-HearingAids[[#This Row],[chargerPrice]])/2</f>
        <v>0</v>
      </c>
      <c r="K69" s="49">
        <f>HearingAids[[#This Row],[HAListPrice]]-HearingAids[[#This Row],[Discount Amount 2]]</f>
        <v>1750</v>
      </c>
      <c r="L69" s="53">
        <v>3500</v>
      </c>
      <c r="M69" s="49"/>
      <c r="N69" s="49"/>
      <c r="O69" s="49"/>
      <c r="P69" s="49"/>
      <c r="Q69" s="50">
        <v>1</v>
      </c>
      <c r="R69" s="49" t="s">
        <v>46</v>
      </c>
      <c r="S69" s="49">
        <v>0</v>
      </c>
      <c r="T69" s="52" t="s">
        <v>63</v>
      </c>
      <c r="U69" s="4">
        <v>0</v>
      </c>
      <c r="V69" s="59" t="s">
        <v>56</v>
      </c>
      <c r="W69" s="4"/>
      <c r="Y69" s="16"/>
      <c r="Z69" s="16"/>
      <c r="AA69" s="16"/>
      <c r="AB69"/>
      <c r="AC69"/>
      <c r="AD69"/>
      <c r="AE69"/>
    </row>
    <row r="70" spans="1:31" ht="12.75" hidden="1">
      <c r="A70" s="45" t="s">
        <v>84</v>
      </c>
      <c r="B70" s="45" t="s">
        <v>85</v>
      </c>
      <c r="C70" s="46">
        <f>(HearingAids[[#This Row],[haMSRP]]*2)+HearingAids[[#This Row],[chargerPrice]]</f>
        <v>4915</v>
      </c>
      <c r="D70" s="86">
        <v>2345</v>
      </c>
      <c r="E70" s="47" t="s">
        <v>10</v>
      </c>
      <c r="F70" s="47">
        <f>HearingAids[[#This Row],[haMSRP]]-((HearingAids[[#This Row],[ListPriceBinural]]-HearingAids[[#This Row],[chargerPrice]])/2)</f>
        <v>707.5</v>
      </c>
      <c r="G70" s="47">
        <f>HearingAids[[#This Row],[haMSRP]]-HearingAids[[#This Row],[Discount Amount 1]]</f>
        <v>1637.5</v>
      </c>
      <c r="H70" s="53">
        <v>3500</v>
      </c>
      <c r="I70" s="65" t="s">
        <v>141</v>
      </c>
      <c r="J70" s="49">
        <f>(HearingAids[[#This Row],[haMSRP]]-HearingAids[[#This Row],[Discount Amount 1]])-(HearingAids[[#This Row],[haNetPriceBinural]]-HearingAids[[#This Row],[chargerPrice]])/2</f>
        <v>0</v>
      </c>
      <c r="K70" s="49">
        <f>HearingAids[[#This Row],[HAListPrice]]-HearingAids[[#This Row],[Discount Amount 2]]</f>
        <v>1637.5</v>
      </c>
      <c r="L70" s="53">
        <v>3500</v>
      </c>
      <c r="M70" s="49"/>
      <c r="N70" s="49"/>
      <c r="O70" s="49"/>
      <c r="P70" s="49"/>
      <c r="Q70" s="87">
        <v>1</v>
      </c>
      <c r="R70" s="88" t="s">
        <v>49</v>
      </c>
      <c r="S70" s="86">
        <v>225</v>
      </c>
      <c r="T70" s="89" t="s">
        <v>63</v>
      </c>
      <c r="U70" s="16">
        <v>0</v>
      </c>
      <c r="V70" s="60" t="s">
        <v>56</v>
      </c>
      <c r="W70" s="4"/>
      <c r="Y70" s="16"/>
      <c r="Z70" s="16"/>
      <c r="AA70" s="16"/>
      <c r="AB70"/>
      <c r="AC70"/>
      <c r="AD70"/>
      <c r="AE70"/>
    </row>
    <row r="71" spans="1:31" ht="12.75" hidden="1">
      <c r="A71" s="45" t="s">
        <v>86</v>
      </c>
      <c r="B71" s="45" t="s">
        <v>87</v>
      </c>
      <c r="C71" s="46">
        <f>(HearingAids[[#This Row],[haMSRP]]*2)+HearingAids[[#This Row],[chargerPrice]]</f>
        <v>4690</v>
      </c>
      <c r="D71" s="47">
        <v>2345</v>
      </c>
      <c r="E71" s="47" t="s">
        <v>10</v>
      </c>
      <c r="F71" s="47">
        <f>HearingAids[[#This Row],[haMSRP]]-((HearingAids[[#This Row],[ListPriceBinural]]-HearingAids[[#This Row],[chargerPrice]])/2)</f>
        <v>595</v>
      </c>
      <c r="G71" s="47">
        <f>HearingAids[[#This Row],[haMSRP]]-HearingAids[[#This Row],[Discount Amount 1]]</f>
        <v>1750</v>
      </c>
      <c r="H71" s="53">
        <v>3500</v>
      </c>
      <c r="I71" s="65" t="s">
        <v>141</v>
      </c>
      <c r="J71" s="49">
        <f>(HearingAids[[#This Row],[haMSRP]]-HearingAids[[#This Row],[Discount Amount 1]])-(HearingAids[[#This Row],[haNetPriceBinural]]-HearingAids[[#This Row],[chargerPrice]])/2</f>
        <v>0</v>
      </c>
      <c r="K71" s="49">
        <f>HearingAids[[#This Row],[HAListPrice]]-HearingAids[[#This Row],[Discount Amount 2]]</f>
        <v>1750</v>
      </c>
      <c r="L71" s="53">
        <v>3500</v>
      </c>
      <c r="M71" s="49"/>
      <c r="N71" s="49"/>
      <c r="O71" s="49"/>
      <c r="P71" s="49"/>
      <c r="Q71" s="50">
        <v>1</v>
      </c>
      <c r="R71" s="49" t="s">
        <v>46</v>
      </c>
      <c r="S71" s="49">
        <v>0</v>
      </c>
      <c r="T71" s="52" t="s">
        <v>63</v>
      </c>
      <c r="U71" s="4">
        <v>0</v>
      </c>
      <c r="V71" s="59" t="s">
        <v>56</v>
      </c>
      <c r="W71" s="4"/>
      <c r="Y71" s="16"/>
      <c r="Z71" s="16"/>
      <c r="AA71" s="16"/>
      <c r="AB71"/>
      <c r="AC71"/>
      <c r="AD71"/>
      <c r="AE71"/>
    </row>
    <row r="72" spans="1:31" ht="12.75" hidden="1">
      <c r="A72" s="45" t="s">
        <v>88</v>
      </c>
      <c r="B72" s="45" t="s">
        <v>89</v>
      </c>
      <c r="C72" s="46">
        <f>(HearingAids[[#This Row],[haMSRP]]*2)+HearingAids[[#This Row],[chargerPrice]]</f>
        <v>4690</v>
      </c>
      <c r="D72" s="47">
        <v>2345</v>
      </c>
      <c r="E72" s="47" t="s">
        <v>10</v>
      </c>
      <c r="F72" s="47">
        <f>HearingAids[[#This Row],[haMSRP]]-((HearingAids[[#This Row],[ListPriceBinural]]-HearingAids[[#This Row],[chargerPrice]])/2)</f>
        <v>595</v>
      </c>
      <c r="G72" s="47">
        <f>HearingAids[[#This Row],[haMSRP]]-HearingAids[[#This Row],[Discount Amount 1]]</f>
        <v>1750</v>
      </c>
      <c r="H72" s="53">
        <v>3500</v>
      </c>
      <c r="I72" s="65" t="s">
        <v>141</v>
      </c>
      <c r="J72" s="49">
        <f>(HearingAids[[#This Row],[haMSRP]]-HearingAids[[#This Row],[Discount Amount 1]])-(HearingAids[[#This Row],[haNetPriceBinural]]-HearingAids[[#This Row],[chargerPrice]])/2</f>
        <v>0</v>
      </c>
      <c r="K72" s="49">
        <f>HearingAids[[#This Row],[HAListPrice]]-HearingAids[[#This Row],[Discount Amount 2]]</f>
        <v>1750</v>
      </c>
      <c r="L72" s="53">
        <v>3500</v>
      </c>
      <c r="M72" s="49"/>
      <c r="N72" s="49"/>
      <c r="O72" s="49"/>
      <c r="P72" s="49"/>
      <c r="Q72" s="50">
        <v>1</v>
      </c>
      <c r="R72" s="49" t="s">
        <v>46</v>
      </c>
      <c r="S72" s="49">
        <v>0</v>
      </c>
      <c r="T72" s="52" t="s">
        <v>68</v>
      </c>
      <c r="U72" s="4">
        <v>0</v>
      </c>
      <c r="V72" s="52" t="s">
        <v>69</v>
      </c>
      <c r="W72" s="4"/>
      <c r="Y72" s="16"/>
      <c r="Z72" s="16"/>
      <c r="AA72" s="16"/>
      <c r="AB72"/>
      <c r="AC72"/>
      <c r="AD72"/>
      <c r="AE72"/>
    </row>
    <row r="73" spans="1:31" ht="12.75" hidden="1">
      <c r="A73" s="45" t="s">
        <v>90</v>
      </c>
      <c r="B73" s="45" t="s">
        <v>91</v>
      </c>
      <c r="C73" s="46">
        <f>(HearingAids[[#This Row],[haMSRP]]*2)+HearingAids[[#This Row],[chargerPrice]]</f>
        <v>4690</v>
      </c>
      <c r="D73" s="47">
        <v>2345</v>
      </c>
      <c r="E73" s="47" t="s">
        <v>10</v>
      </c>
      <c r="F73" s="47">
        <f>HearingAids[[#This Row],[haMSRP]]-((HearingAids[[#This Row],[ListPriceBinural]]-HearingAids[[#This Row],[chargerPrice]])/2)</f>
        <v>595</v>
      </c>
      <c r="G73" s="47">
        <f>HearingAids[[#This Row],[haMSRP]]-HearingAids[[#This Row],[Discount Amount 1]]</f>
        <v>1750</v>
      </c>
      <c r="H73" s="53">
        <v>3500</v>
      </c>
      <c r="I73" s="65" t="s">
        <v>141</v>
      </c>
      <c r="J73" s="49">
        <f>(HearingAids[[#This Row],[haMSRP]]-HearingAids[[#This Row],[Discount Amount 1]])-(HearingAids[[#This Row],[haNetPriceBinural]]-HearingAids[[#This Row],[chargerPrice]])/2</f>
        <v>0</v>
      </c>
      <c r="K73" s="49">
        <f>HearingAids[[#This Row],[HAListPrice]]-HearingAids[[#This Row],[Discount Amount 2]]</f>
        <v>1750</v>
      </c>
      <c r="L73" s="53">
        <v>3500</v>
      </c>
      <c r="M73" s="49"/>
      <c r="N73" s="49"/>
      <c r="O73" s="49"/>
      <c r="P73" s="49"/>
      <c r="Q73" s="50">
        <v>1</v>
      </c>
      <c r="R73" s="49" t="s">
        <v>46</v>
      </c>
      <c r="S73" s="49">
        <v>0</v>
      </c>
      <c r="T73" s="52" t="s">
        <v>68</v>
      </c>
      <c r="U73" s="4">
        <v>0</v>
      </c>
      <c r="V73" s="52" t="s">
        <v>69</v>
      </c>
      <c r="W73" s="4"/>
      <c r="Y73" s="16"/>
      <c r="Z73" s="16"/>
      <c r="AA73" s="16"/>
      <c r="AB73"/>
      <c r="AC73"/>
      <c r="AD73"/>
      <c r="AE73"/>
    </row>
    <row r="74" spans="1:31" ht="12.75" hidden="1">
      <c r="A74" s="45" t="s">
        <v>92</v>
      </c>
      <c r="B74" s="45" t="s">
        <v>93</v>
      </c>
      <c r="C74" s="46">
        <f>(HearingAids[[#This Row],[haMSRP]]*2)+HearingAids[[#This Row],[chargerPrice]]</f>
        <v>4690</v>
      </c>
      <c r="D74" s="47">
        <v>2345</v>
      </c>
      <c r="E74" s="47" t="s">
        <v>10</v>
      </c>
      <c r="F74" s="47">
        <f>HearingAids[[#This Row],[haMSRP]]-((HearingAids[[#This Row],[ListPriceBinural]]-HearingAids[[#This Row],[chargerPrice]])/2)</f>
        <v>595</v>
      </c>
      <c r="G74" s="47">
        <f>HearingAids[[#This Row],[haMSRP]]-HearingAids[[#This Row],[Discount Amount 1]]</f>
        <v>1750</v>
      </c>
      <c r="H74" s="53">
        <v>3500</v>
      </c>
      <c r="I74" s="65" t="s">
        <v>141</v>
      </c>
      <c r="J74" s="49">
        <f>(HearingAids[[#This Row],[haMSRP]]-HearingAids[[#This Row],[Discount Amount 1]])-(HearingAids[[#This Row],[haNetPriceBinural]]-HearingAids[[#This Row],[chargerPrice]])/2</f>
        <v>0</v>
      </c>
      <c r="K74" s="49">
        <f>HearingAids[[#This Row],[HAListPrice]]-HearingAids[[#This Row],[Discount Amount 2]]</f>
        <v>1750</v>
      </c>
      <c r="L74" s="53">
        <v>3500</v>
      </c>
      <c r="M74" s="49"/>
      <c r="N74" s="49"/>
      <c r="O74" s="49"/>
      <c r="P74" s="49"/>
      <c r="Q74" s="50">
        <v>1</v>
      </c>
      <c r="R74" s="49" t="s">
        <v>46</v>
      </c>
      <c r="S74" s="49">
        <v>0</v>
      </c>
      <c r="T74" s="52" t="s">
        <v>74</v>
      </c>
      <c r="U74" s="4">
        <v>0</v>
      </c>
      <c r="V74" s="59" t="s">
        <v>56</v>
      </c>
      <c r="W74" s="4"/>
      <c r="Y74" s="16"/>
      <c r="Z74" s="16"/>
      <c r="AA74" s="16"/>
      <c r="AB74"/>
      <c r="AC74"/>
      <c r="AD74"/>
      <c r="AE74"/>
    </row>
    <row r="75" spans="1:31" ht="12.75" hidden="1">
      <c r="A75" s="45" t="s">
        <v>94</v>
      </c>
      <c r="B75" s="45" t="s">
        <v>95</v>
      </c>
      <c r="C75" s="46">
        <f>(HearingAids[[#This Row],[haMSRP]]*2)+HearingAids[[#This Row],[chargerPrice]]</f>
        <v>4690</v>
      </c>
      <c r="D75" s="47">
        <v>2345</v>
      </c>
      <c r="E75" s="47" t="s">
        <v>10</v>
      </c>
      <c r="F75" s="47">
        <f>HearingAids[[#This Row],[haMSRP]]-((HearingAids[[#This Row],[ListPriceBinural]]-HearingAids[[#This Row],[chargerPrice]])/2)</f>
        <v>595</v>
      </c>
      <c r="G75" s="47">
        <f>HearingAids[[#This Row],[haMSRP]]-HearingAids[[#This Row],[Discount Amount 1]]</f>
        <v>1750</v>
      </c>
      <c r="H75" s="53">
        <v>3500</v>
      </c>
      <c r="I75" s="65" t="s">
        <v>141</v>
      </c>
      <c r="J75" s="49">
        <f>(HearingAids[[#This Row],[haMSRP]]-HearingAids[[#This Row],[Discount Amount 1]])-(HearingAids[[#This Row],[haNetPriceBinural]]-HearingAids[[#This Row],[chargerPrice]])/2</f>
        <v>0</v>
      </c>
      <c r="K75" s="49">
        <f>HearingAids[[#This Row],[HAListPrice]]-HearingAids[[#This Row],[Discount Amount 2]]</f>
        <v>1750</v>
      </c>
      <c r="L75" s="53">
        <v>3500</v>
      </c>
      <c r="M75" s="49"/>
      <c r="N75" s="49"/>
      <c r="O75" s="49"/>
      <c r="P75" s="49"/>
      <c r="Q75" s="50">
        <v>1</v>
      </c>
      <c r="R75" s="49" t="s">
        <v>46</v>
      </c>
      <c r="S75" s="49">
        <v>0</v>
      </c>
      <c r="T75" s="52" t="s">
        <v>74</v>
      </c>
      <c r="U75" s="4">
        <v>0</v>
      </c>
      <c r="V75" s="59" t="s">
        <v>56</v>
      </c>
      <c r="W75" s="4"/>
      <c r="Y75" s="16"/>
      <c r="Z75" s="16"/>
      <c r="AA75" s="16"/>
      <c r="AB75"/>
      <c r="AC75"/>
      <c r="AD75"/>
      <c r="AE75"/>
    </row>
    <row r="76" spans="1:31" ht="12.75" hidden="1">
      <c r="A76" s="45" t="s">
        <v>96</v>
      </c>
      <c r="B76" s="45" t="s">
        <v>97</v>
      </c>
      <c r="C76" s="46">
        <f>(HearingAids[[#This Row],[haMSRP]]*2)+HearingAids[[#This Row],[chargerPrice]]</f>
        <v>4690</v>
      </c>
      <c r="D76" s="47">
        <v>2345</v>
      </c>
      <c r="E76" s="47" t="s">
        <v>10</v>
      </c>
      <c r="F76" s="47">
        <f>HearingAids[[#This Row],[haMSRP]]-((HearingAids[[#This Row],[ListPriceBinural]]-HearingAids[[#This Row],[chargerPrice]])/2)</f>
        <v>595</v>
      </c>
      <c r="G76" s="47">
        <f>HearingAids[[#This Row],[haMSRP]]-HearingAids[[#This Row],[Discount Amount 1]]</f>
        <v>1750</v>
      </c>
      <c r="H76" s="53">
        <v>3500</v>
      </c>
      <c r="I76" s="65" t="s">
        <v>141</v>
      </c>
      <c r="J76" s="49">
        <f>(HearingAids[[#This Row],[haMSRP]]-HearingAids[[#This Row],[Discount Amount 1]])-(HearingAids[[#This Row],[haNetPriceBinural]]-HearingAids[[#This Row],[chargerPrice]])/2</f>
        <v>0</v>
      </c>
      <c r="K76" s="49">
        <f>HearingAids[[#This Row],[HAListPrice]]-HearingAids[[#This Row],[Discount Amount 2]]</f>
        <v>1750</v>
      </c>
      <c r="L76" s="53">
        <v>3500</v>
      </c>
      <c r="M76" s="49"/>
      <c r="N76" s="49"/>
      <c r="O76" s="49"/>
      <c r="P76" s="49"/>
      <c r="Q76" s="50">
        <v>1</v>
      </c>
      <c r="R76" s="49" t="s">
        <v>46</v>
      </c>
      <c r="S76" s="49">
        <v>0</v>
      </c>
      <c r="T76" s="52" t="s">
        <v>79</v>
      </c>
      <c r="U76" s="4">
        <v>0</v>
      </c>
      <c r="V76" s="52"/>
      <c r="W76" s="4"/>
      <c r="Y76" s="16"/>
      <c r="Z76" s="16"/>
      <c r="AA76" s="16"/>
      <c r="AB76"/>
      <c r="AC76"/>
      <c r="AD76"/>
      <c r="AE76"/>
    </row>
    <row r="77" spans="1:31" ht="12.75" hidden="1">
      <c r="A77" s="45" t="s">
        <v>98</v>
      </c>
      <c r="B77" s="45" t="s">
        <v>99</v>
      </c>
      <c r="C77" s="46">
        <f>(HearingAids[[#This Row],[haMSRP]]*2)+HearingAids[[#This Row],[chargerPrice]]</f>
        <v>4690</v>
      </c>
      <c r="D77" s="47">
        <v>2345</v>
      </c>
      <c r="E77" s="47" t="s">
        <v>10</v>
      </c>
      <c r="F77" s="47">
        <f>HearingAids[[#This Row],[haMSRP]]-((HearingAids[[#This Row],[ListPriceBinural]]-HearingAids[[#This Row],[chargerPrice]])/2)</f>
        <v>595</v>
      </c>
      <c r="G77" s="47">
        <f>HearingAids[[#This Row],[haMSRP]]-HearingAids[[#This Row],[Discount Amount 1]]</f>
        <v>1750</v>
      </c>
      <c r="H77" s="53">
        <v>3500</v>
      </c>
      <c r="I77" s="65" t="s">
        <v>141</v>
      </c>
      <c r="J77" s="49">
        <f>(HearingAids[[#This Row],[haMSRP]]-HearingAids[[#This Row],[Discount Amount 1]])-(HearingAids[[#This Row],[haNetPriceBinural]]-HearingAids[[#This Row],[chargerPrice]])/2</f>
        <v>0</v>
      </c>
      <c r="K77" s="49">
        <f>HearingAids[[#This Row],[HAListPrice]]-HearingAids[[#This Row],[Discount Amount 2]]</f>
        <v>1750</v>
      </c>
      <c r="L77" s="53">
        <v>3500</v>
      </c>
      <c r="M77" s="49"/>
      <c r="N77" s="49"/>
      <c r="O77" s="49"/>
      <c r="P77" s="49"/>
      <c r="Q77" s="50">
        <v>1</v>
      </c>
      <c r="R77" s="49" t="s">
        <v>46</v>
      </c>
      <c r="S77" s="49">
        <v>0</v>
      </c>
      <c r="T77" s="52" t="s">
        <v>79</v>
      </c>
      <c r="U77" s="4">
        <v>0</v>
      </c>
      <c r="V77" s="52"/>
      <c r="W77" s="4"/>
      <c r="Y77" s="16"/>
      <c r="Z77" s="16"/>
      <c r="AA77" s="16"/>
      <c r="AB77"/>
      <c r="AC77"/>
      <c r="AD77"/>
      <c r="AE77"/>
    </row>
    <row r="78" spans="1:31" ht="12.75" hidden="1">
      <c r="A78" s="45" t="s">
        <v>100</v>
      </c>
      <c r="B78" s="45" t="s">
        <v>101</v>
      </c>
      <c r="C78" s="46">
        <f>(HearingAids[[#This Row],[haMSRP]]*2)+HearingAids[[#This Row],[chargerPrice]]</f>
        <v>4690</v>
      </c>
      <c r="D78" s="47">
        <v>2345</v>
      </c>
      <c r="E78" s="47" t="s">
        <v>10</v>
      </c>
      <c r="F78" s="47">
        <f>HearingAids[[#This Row],[haMSRP]]-((HearingAids[[#This Row],[ListPriceBinural]]-HearingAids[[#This Row],[chargerPrice]])/2)</f>
        <v>595</v>
      </c>
      <c r="G78" s="47">
        <f>HearingAids[[#This Row],[haMSRP]]-HearingAids[[#This Row],[Discount Amount 1]]</f>
        <v>1750</v>
      </c>
      <c r="H78" s="53">
        <v>3500</v>
      </c>
      <c r="I78" s="65" t="s">
        <v>141</v>
      </c>
      <c r="J78" s="49">
        <f>(HearingAids[[#This Row],[haMSRP]]-HearingAids[[#This Row],[Discount Amount 1]])-(HearingAids[[#This Row],[haNetPriceBinural]]-HearingAids[[#This Row],[chargerPrice]])/2</f>
        <v>0</v>
      </c>
      <c r="K78" s="49">
        <f>HearingAids[[#This Row],[HAListPrice]]-HearingAids[[#This Row],[Discount Amount 2]]</f>
        <v>1750</v>
      </c>
      <c r="L78" s="53">
        <v>3500</v>
      </c>
      <c r="M78" s="49"/>
      <c r="N78" s="49"/>
      <c r="O78" s="49"/>
      <c r="P78" s="49"/>
      <c r="Q78" s="50">
        <v>1</v>
      </c>
      <c r="R78" s="49" t="s">
        <v>46</v>
      </c>
      <c r="S78" s="49">
        <v>0</v>
      </c>
      <c r="T78" s="52" t="s">
        <v>79</v>
      </c>
      <c r="U78" s="4">
        <v>0</v>
      </c>
      <c r="V78" s="52"/>
      <c r="W78" s="4"/>
      <c r="Y78" s="16"/>
      <c r="Z78" s="16"/>
      <c r="AA78" s="16"/>
      <c r="AB78"/>
      <c r="AC78"/>
      <c r="AD78"/>
      <c r="AE78"/>
    </row>
    <row r="79" spans="1:31" ht="12.75" hidden="1">
      <c r="A79" s="45" t="s">
        <v>102</v>
      </c>
      <c r="B79" s="45" t="s">
        <v>103</v>
      </c>
      <c r="C79" s="46">
        <f>(HearingAids[[#This Row],[haMSRP]]*2)+HearingAids[[#This Row],[chargerPrice]]</f>
        <v>6283</v>
      </c>
      <c r="D79" s="47">
        <v>3029</v>
      </c>
      <c r="E79" s="47" t="s">
        <v>10</v>
      </c>
      <c r="F79" s="47">
        <f>HearingAids[[#This Row],[haMSRP]]-((HearingAids[[#This Row],[ListPriceBinural]]-HearingAids[[#This Row],[chargerPrice]])/2)</f>
        <v>616.5</v>
      </c>
      <c r="G79" s="47">
        <f>HearingAids[[#This Row],[haMSRP]]-HearingAids[[#This Row],[Discount Amount 1]]</f>
        <v>2412.5</v>
      </c>
      <c r="H79" s="53">
        <v>5050</v>
      </c>
      <c r="I79" s="65" t="s">
        <v>141</v>
      </c>
      <c r="J79" s="49">
        <f>(HearingAids[[#This Row],[haMSRP]]-HearingAids[[#This Row],[Discount Amount 1]])-(HearingAids[[#This Row],[haNetPriceBinural]]-HearingAids[[#This Row],[chargerPrice]])/2</f>
        <v>0</v>
      </c>
      <c r="K79" s="49">
        <f>HearingAids[[#This Row],[HAListPrice]]-HearingAids[[#This Row],[Discount Amount 2]]</f>
        <v>2412.5</v>
      </c>
      <c r="L79" s="53">
        <v>5050</v>
      </c>
      <c r="M79" s="49"/>
      <c r="N79" s="49"/>
      <c r="O79" s="49"/>
      <c r="P79" s="49"/>
      <c r="Q79" s="50">
        <v>1</v>
      </c>
      <c r="R79" s="85" t="s">
        <v>49</v>
      </c>
      <c r="S79" s="86">
        <v>225</v>
      </c>
      <c r="T79" s="52" t="s">
        <v>63</v>
      </c>
      <c r="U79" s="4">
        <v>0</v>
      </c>
      <c r="V79" s="59" t="s">
        <v>56</v>
      </c>
      <c r="W79" s="4"/>
      <c r="Y79" s="16"/>
      <c r="Z79" s="16"/>
      <c r="AA79" s="16"/>
      <c r="AB79"/>
      <c r="AC79"/>
      <c r="AD79"/>
      <c r="AE79"/>
    </row>
    <row r="80" spans="1:31" ht="12.75" hidden="1">
      <c r="A80" s="45" t="s">
        <v>104</v>
      </c>
      <c r="B80" s="45" t="s">
        <v>105</v>
      </c>
      <c r="C80" s="46">
        <f>(HearingAids[[#This Row],[haMSRP]]*2)+HearingAids[[#This Row],[chargerPrice]]</f>
        <v>6058</v>
      </c>
      <c r="D80" s="47">
        <v>3029</v>
      </c>
      <c r="E80" s="47" t="s">
        <v>10</v>
      </c>
      <c r="F80" s="47">
        <f>HearingAids[[#This Row],[haMSRP]]-((HearingAids[[#This Row],[ListPriceBinural]]-HearingAids[[#This Row],[chargerPrice]])/2)</f>
        <v>504</v>
      </c>
      <c r="G80" s="47">
        <f>HearingAids[[#This Row],[haMSRP]]-HearingAids[[#This Row],[Discount Amount 1]]</f>
        <v>2525</v>
      </c>
      <c r="H80" s="53">
        <v>5050</v>
      </c>
      <c r="I80" s="65" t="s">
        <v>141</v>
      </c>
      <c r="J80" s="49">
        <f>(HearingAids[[#This Row],[haMSRP]]-HearingAids[[#This Row],[Discount Amount 1]])-(HearingAids[[#This Row],[haNetPriceBinural]]-HearingAids[[#This Row],[chargerPrice]])/2</f>
        <v>0</v>
      </c>
      <c r="K80" s="49">
        <f>HearingAids[[#This Row],[HAListPrice]]-HearingAids[[#This Row],[Discount Amount 2]]</f>
        <v>2525</v>
      </c>
      <c r="L80" s="53">
        <v>5050</v>
      </c>
      <c r="M80" s="49"/>
      <c r="N80" s="49"/>
      <c r="O80" s="49"/>
      <c r="P80" s="49"/>
      <c r="Q80" s="50">
        <v>1</v>
      </c>
      <c r="R80" s="49" t="s">
        <v>46</v>
      </c>
      <c r="S80" s="49">
        <v>0</v>
      </c>
      <c r="T80" s="52" t="s">
        <v>63</v>
      </c>
      <c r="U80" s="4">
        <v>0</v>
      </c>
      <c r="V80" s="59" t="s">
        <v>56</v>
      </c>
      <c r="W80" s="4"/>
      <c r="Y80" s="16"/>
      <c r="Z80" s="16"/>
      <c r="AA80" s="16"/>
      <c r="AB80"/>
      <c r="AC80"/>
      <c r="AD80"/>
      <c r="AE80"/>
    </row>
    <row r="81" spans="1:31" ht="12.75" hidden="1">
      <c r="A81" s="45" t="s">
        <v>106</v>
      </c>
      <c r="B81" s="45" t="s">
        <v>107</v>
      </c>
      <c r="C81" s="46">
        <f>(HearingAids[[#This Row],[haMSRP]]*2)+HearingAids[[#This Row],[chargerPrice]]</f>
        <v>6058</v>
      </c>
      <c r="D81" s="47">
        <v>3029</v>
      </c>
      <c r="E81" s="47" t="s">
        <v>10</v>
      </c>
      <c r="F81" s="47">
        <f>HearingAids[[#This Row],[haMSRP]]-((HearingAids[[#This Row],[ListPriceBinural]]-HearingAids[[#This Row],[chargerPrice]])/2)</f>
        <v>504</v>
      </c>
      <c r="G81" s="47">
        <f>HearingAids[[#This Row],[haMSRP]]-HearingAids[[#This Row],[Discount Amount 1]]</f>
        <v>2525</v>
      </c>
      <c r="H81" s="53">
        <v>5050</v>
      </c>
      <c r="I81" s="65" t="s">
        <v>141</v>
      </c>
      <c r="J81" s="49">
        <f>(HearingAids[[#This Row],[haMSRP]]-HearingAids[[#This Row],[Discount Amount 1]])-(HearingAids[[#This Row],[haNetPriceBinural]]-HearingAids[[#This Row],[chargerPrice]])/2</f>
        <v>0</v>
      </c>
      <c r="K81" s="49">
        <f>HearingAids[[#This Row],[HAListPrice]]-HearingAids[[#This Row],[Discount Amount 2]]</f>
        <v>2525</v>
      </c>
      <c r="L81" s="53">
        <v>5050</v>
      </c>
      <c r="M81" s="49"/>
      <c r="N81" s="49"/>
      <c r="O81" s="49"/>
      <c r="P81" s="49"/>
      <c r="Q81" s="50">
        <v>1</v>
      </c>
      <c r="R81" s="49" t="s">
        <v>46</v>
      </c>
      <c r="S81" s="49">
        <v>0</v>
      </c>
      <c r="T81" s="52" t="s">
        <v>68</v>
      </c>
      <c r="U81" s="4">
        <v>0</v>
      </c>
      <c r="V81" s="52" t="s">
        <v>69</v>
      </c>
      <c r="W81" s="4"/>
      <c r="Y81" s="16"/>
      <c r="Z81" s="16"/>
      <c r="AA81" s="16"/>
      <c r="AB81"/>
      <c r="AC81"/>
      <c r="AD81"/>
      <c r="AE81"/>
    </row>
    <row r="82" spans="1:31" ht="12.75" hidden="1">
      <c r="A82" s="45" t="s">
        <v>108</v>
      </c>
      <c r="B82" s="45" t="s">
        <v>109</v>
      </c>
      <c r="C82" s="46">
        <f>(HearingAids[[#This Row],[haMSRP]]*2)+HearingAids[[#This Row],[chargerPrice]]</f>
        <v>6058</v>
      </c>
      <c r="D82" s="47">
        <v>3029</v>
      </c>
      <c r="E82" s="47" t="s">
        <v>10</v>
      </c>
      <c r="F82" s="47">
        <f>HearingAids[[#This Row],[haMSRP]]-((HearingAids[[#This Row],[ListPriceBinural]]-HearingAids[[#This Row],[chargerPrice]])/2)</f>
        <v>504</v>
      </c>
      <c r="G82" s="47">
        <f>HearingAids[[#This Row],[haMSRP]]-HearingAids[[#This Row],[Discount Amount 1]]</f>
        <v>2525</v>
      </c>
      <c r="H82" s="53">
        <v>5050</v>
      </c>
      <c r="I82" s="65" t="s">
        <v>141</v>
      </c>
      <c r="J82" s="49">
        <f>(HearingAids[[#This Row],[haMSRP]]-HearingAids[[#This Row],[Discount Amount 1]])-(HearingAids[[#This Row],[haNetPriceBinural]]-HearingAids[[#This Row],[chargerPrice]])/2</f>
        <v>0</v>
      </c>
      <c r="K82" s="49">
        <f>HearingAids[[#This Row],[HAListPrice]]-HearingAids[[#This Row],[Discount Amount 2]]</f>
        <v>2525</v>
      </c>
      <c r="L82" s="53">
        <v>5050</v>
      </c>
      <c r="M82" s="49"/>
      <c r="N82" s="49"/>
      <c r="O82" s="49"/>
      <c r="P82" s="49"/>
      <c r="Q82" s="50">
        <v>1</v>
      </c>
      <c r="R82" s="49" t="s">
        <v>46</v>
      </c>
      <c r="S82" s="49">
        <v>0</v>
      </c>
      <c r="T82" s="52" t="s">
        <v>68</v>
      </c>
      <c r="U82" s="4">
        <v>0</v>
      </c>
      <c r="V82" s="52" t="s">
        <v>69</v>
      </c>
      <c r="W82" s="4"/>
      <c r="Y82" s="16"/>
      <c r="Z82" s="16"/>
      <c r="AA82" s="16"/>
      <c r="AB82"/>
      <c r="AC82"/>
      <c r="AD82"/>
      <c r="AE82"/>
    </row>
    <row r="83" spans="1:31" ht="12.75" hidden="1">
      <c r="A83" s="45" t="s">
        <v>110</v>
      </c>
      <c r="B83" s="45" t="s">
        <v>111</v>
      </c>
      <c r="C83" s="46">
        <f>(HearingAids[[#This Row],[haMSRP]]*2)+HearingAids[[#This Row],[chargerPrice]]</f>
        <v>6058</v>
      </c>
      <c r="D83" s="47">
        <v>3029</v>
      </c>
      <c r="E83" s="47" t="s">
        <v>10</v>
      </c>
      <c r="F83" s="47">
        <f>HearingAids[[#This Row],[haMSRP]]-((HearingAids[[#This Row],[ListPriceBinural]]-HearingAids[[#This Row],[chargerPrice]])/2)</f>
        <v>504</v>
      </c>
      <c r="G83" s="47">
        <f>HearingAids[[#This Row],[haMSRP]]-HearingAids[[#This Row],[Discount Amount 1]]</f>
        <v>2525</v>
      </c>
      <c r="H83" s="53">
        <v>5050</v>
      </c>
      <c r="I83" s="65" t="s">
        <v>141</v>
      </c>
      <c r="J83" s="49">
        <f>(HearingAids[[#This Row],[haMSRP]]-HearingAids[[#This Row],[Discount Amount 1]])-(HearingAids[[#This Row],[haNetPriceBinural]]-HearingAids[[#This Row],[chargerPrice]])/2</f>
        <v>0</v>
      </c>
      <c r="K83" s="49">
        <f>HearingAids[[#This Row],[HAListPrice]]-HearingAids[[#This Row],[Discount Amount 2]]</f>
        <v>2525</v>
      </c>
      <c r="L83" s="53">
        <v>5050</v>
      </c>
      <c r="M83" s="49"/>
      <c r="N83" s="49"/>
      <c r="O83" s="49"/>
      <c r="P83" s="49"/>
      <c r="Q83" s="50">
        <v>1</v>
      </c>
      <c r="R83" s="49" t="s">
        <v>46</v>
      </c>
      <c r="S83" s="49">
        <v>0</v>
      </c>
      <c r="T83" s="52" t="s">
        <v>74</v>
      </c>
      <c r="U83" s="4">
        <v>0</v>
      </c>
      <c r="V83" s="59" t="s">
        <v>56</v>
      </c>
      <c r="W83" s="4"/>
      <c r="Y83" s="16"/>
      <c r="Z83" s="16"/>
      <c r="AA83" s="16"/>
      <c r="AB83"/>
      <c r="AC83"/>
      <c r="AD83"/>
      <c r="AE83"/>
    </row>
    <row r="84" spans="1:31" ht="12.75" hidden="1">
      <c r="A84" s="45" t="s">
        <v>112</v>
      </c>
      <c r="B84" s="45" t="s">
        <v>113</v>
      </c>
      <c r="C84" s="46">
        <f>(HearingAids[[#This Row],[haMSRP]]*2)+HearingAids[[#This Row],[chargerPrice]]</f>
        <v>6058</v>
      </c>
      <c r="D84" s="47">
        <v>3029</v>
      </c>
      <c r="E84" s="47" t="s">
        <v>10</v>
      </c>
      <c r="F84" s="47">
        <f>HearingAids[[#This Row],[haMSRP]]-((HearingAids[[#This Row],[ListPriceBinural]]-HearingAids[[#This Row],[chargerPrice]])/2)</f>
        <v>504</v>
      </c>
      <c r="G84" s="47">
        <f>HearingAids[[#This Row],[haMSRP]]-HearingAids[[#This Row],[Discount Amount 1]]</f>
        <v>2525</v>
      </c>
      <c r="H84" s="53">
        <v>5050</v>
      </c>
      <c r="I84" s="65" t="s">
        <v>141</v>
      </c>
      <c r="J84" s="49">
        <f>(HearingAids[[#This Row],[haMSRP]]-HearingAids[[#This Row],[Discount Amount 1]])-(HearingAids[[#This Row],[haNetPriceBinural]]-HearingAids[[#This Row],[chargerPrice]])/2</f>
        <v>0</v>
      </c>
      <c r="K84" s="49">
        <f>HearingAids[[#This Row],[HAListPrice]]-HearingAids[[#This Row],[Discount Amount 2]]</f>
        <v>2525</v>
      </c>
      <c r="L84" s="53">
        <v>5050</v>
      </c>
      <c r="M84" s="49"/>
      <c r="N84" s="49"/>
      <c r="O84" s="49"/>
      <c r="P84" s="49"/>
      <c r="Q84" s="50">
        <v>1</v>
      </c>
      <c r="R84" s="49" t="s">
        <v>46</v>
      </c>
      <c r="S84" s="49">
        <v>0</v>
      </c>
      <c r="T84" s="52" t="s">
        <v>74</v>
      </c>
      <c r="U84" s="4">
        <v>0</v>
      </c>
      <c r="V84" s="59" t="s">
        <v>56</v>
      </c>
      <c r="W84" s="4"/>
      <c r="Y84" s="16"/>
      <c r="Z84" s="16"/>
      <c r="AA84" s="16"/>
      <c r="AB84"/>
      <c r="AC84"/>
      <c r="AD84"/>
      <c r="AE84"/>
    </row>
    <row r="85" spans="1:31" ht="12.75" hidden="1">
      <c r="A85" s="45" t="s">
        <v>114</v>
      </c>
      <c r="B85" s="45" t="s">
        <v>115</v>
      </c>
      <c r="C85" s="46">
        <f>(HearingAids[[#This Row],[haMSRP]]*2)+HearingAids[[#This Row],[chargerPrice]]</f>
        <v>6058</v>
      </c>
      <c r="D85" s="47">
        <v>3029</v>
      </c>
      <c r="E85" s="47" t="s">
        <v>10</v>
      </c>
      <c r="F85" s="47">
        <f>HearingAids[[#This Row],[haMSRP]]-((HearingAids[[#This Row],[ListPriceBinural]]-HearingAids[[#This Row],[chargerPrice]])/2)</f>
        <v>504</v>
      </c>
      <c r="G85" s="47">
        <f>HearingAids[[#This Row],[haMSRP]]-HearingAids[[#This Row],[Discount Amount 1]]</f>
        <v>2525</v>
      </c>
      <c r="H85" s="53">
        <v>5050</v>
      </c>
      <c r="I85" s="65" t="s">
        <v>141</v>
      </c>
      <c r="J85" s="49">
        <f>(HearingAids[[#This Row],[haMSRP]]-HearingAids[[#This Row],[Discount Amount 1]])-(HearingAids[[#This Row],[haNetPriceBinural]]-HearingAids[[#This Row],[chargerPrice]])/2</f>
        <v>0</v>
      </c>
      <c r="K85" s="49">
        <f>HearingAids[[#This Row],[HAListPrice]]-HearingAids[[#This Row],[Discount Amount 2]]</f>
        <v>2525</v>
      </c>
      <c r="L85" s="53">
        <v>5050</v>
      </c>
      <c r="M85" s="49"/>
      <c r="N85" s="49"/>
      <c r="O85" s="49"/>
      <c r="P85" s="49"/>
      <c r="Q85" s="50">
        <v>1</v>
      </c>
      <c r="R85" s="49" t="s">
        <v>46</v>
      </c>
      <c r="S85" s="49">
        <v>0</v>
      </c>
      <c r="T85" s="52" t="s">
        <v>79</v>
      </c>
      <c r="U85" s="4">
        <v>0</v>
      </c>
      <c r="V85" s="52"/>
      <c r="W85" s="4"/>
      <c r="Y85" s="16"/>
      <c r="Z85" s="16"/>
      <c r="AA85" s="16"/>
      <c r="AB85"/>
      <c r="AC85"/>
      <c r="AD85"/>
      <c r="AE85"/>
    </row>
    <row r="86" spans="1:31" ht="12.75" hidden="1">
      <c r="A86" s="45" t="s">
        <v>116</v>
      </c>
      <c r="B86" s="45" t="s">
        <v>117</v>
      </c>
      <c r="C86" s="46">
        <f>(HearingAids[[#This Row],[haMSRP]]*2)+HearingAids[[#This Row],[chargerPrice]]</f>
        <v>6058</v>
      </c>
      <c r="D86" s="47">
        <v>3029</v>
      </c>
      <c r="E86" s="47" t="s">
        <v>10</v>
      </c>
      <c r="F86" s="47">
        <f>HearingAids[[#This Row],[haMSRP]]-((HearingAids[[#This Row],[ListPriceBinural]]-HearingAids[[#This Row],[chargerPrice]])/2)</f>
        <v>504</v>
      </c>
      <c r="G86" s="47">
        <f>HearingAids[[#This Row],[haMSRP]]-HearingAids[[#This Row],[Discount Amount 1]]</f>
        <v>2525</v>
      </c>
      <c r="H86" s="53">
        <v>5050</v>
      </c>
      <c r="I86" s="65" t="s">
        <v>141</v>
      </c>
      <c r="J86" s="49">
        <f>(HearingAids[[#This Row],[haMSRP]]-HearingAids[[#This Row],[Discount Amount 1]])-(HearingAids[[#This Row],[haNetPriceBinural]]-HearingAids[[#This Row],[chargerPrice]])/2</f>
        <v>0</v>
      </c>
      <c r="K86" s="49">
        <f>HearingAids[[#This Row],[HAListPrice]]-HearingAids[[#This Row],[Discount Amount 2]]</f>
        <v>2525</v>
      </c>
      <c r="L86" s="53">
        <v>5050</v>
      </c>
      <c r="M86" s="49"/>
      <c r="N86" s="49"/>
      <c r="O86" s="49"/>
      <c r="P86" s="49"/>
      <c r="Q86" s="50">
        <v>1</v>
      </c>
      <c r="R86" s="49" t="s">
        <v>46</v>
      </c>
      <c r="S86" s="49">
        <v>0</v>
      </c>
      <c r="T86" s="52" t="s">
        <v>79</v>
      </c>
      <c r="U86" s="4">
        <v>0</v>
      </c>
      <c r="V86" s="52"/>
      <c r="W86" s="4"/>
      <c r="Y86" s="16"/>
      <c r="Z86" s="16"/>
      <c r="AA86" s="16"/>
      <c r="AB86"/>
      <c r="AC86"/>
      <c r="AD86"/>
      <c r="AE86"/>
    </row>
    <row r="87" spans="1:31" ht="12.75" hidden="1">
      <c r="A87" s="45" t="s">
        <v>118</v>
      </c>
      <c r="B87" s="45" t="s">
        <v>119</v>
      </c>
      <c r="C87" s="46">
        <f>(HearingAids[[#This Row],[haMSRP]]*2)+HearingAids[[#This Row],[chargerPrice]]</f>
        <v>6058</v>
      </c>
      <c r="D87" s="47">
        <v>3029</v>
      </c>
      <c r="E87" s="47" t="s">
        <v>10</v>
      </c>
      <c r="F87" s="47">
        <f>HearingAids[[#This Row],[haMSRP]]-((HearingAids[[#This Row],[ListPriceBinural]]-HearingAids[[#This Row],[chargerPrice]])/2)</f>
        <v>504</v>
      </c>
      <c r="G87" s="47">
        <f>HearingAids[[#This Row],[haMSRP]]-HearingAids[[#This Row],[Discount Amount 1]]</f>
        <v>2525</v>
      </c>
      <c r="H87" s="53">
        <v>5050</v>
      </c>
      <c r="I87" s="65" t="s">
        <v>141</v>
      </c>
      <c r="J87" s="49">
        <f>(HearingAids[[#This Row],[haMSRP]]-HearingAids[[#This Row],[Discount Amount 1]])-(HearingAids[[#This Row],[haNetPriceBinural]]-HearingAids[[#This Row],[chargerPrice]])/2</f>
        <v>0</v>
      </c>
      <c r="K87" s="49">
        <f>HearingAids[[#This Row],[HAListPrice]]-HearingAids[[#This Row],[Discount Amount 2]]</f>
        <v>2525</v>
      </c>
      <c r="L87" s="53">
        <v>5050</v>
      </c>
      <c r="M87" s="49"/>
      <c r="N87" s="49"/>
      <c r="O87" s="49"/>
      <c r="P87" s="49"/>
      <c r="Q87" s="50">
        <v>1</v>
      </c>
      <c r="R87" s="49" t="s">
        <v>46</v>
      </c>
      <c r="S87" s="49">
        <v>0</v>
      </c>
      <c r="T87" s="52" t="s">
        <v>79</v>
      </c>
      <c r="U87" s="4">
        <v>0</v>
      </c>
      <c r="V87" s="52"/>
      <c r="W87" s="4"/>
      <c r="Y87" s="16"/>
      <c r="Z87" s="16"/>
      <c r="AA87" s="16"/>
      <c r="AB87"/>
      <c r="AC87"/>
      <c r="AD87"/>
      <c r="AE87"/>
    </row>
    <row r="88" spans="1:31" ht="12.75" hidden="1">
      <c r="A88" s="45" t="s">
        <v>123</v>
      </c>
      <c r="B88" s="45" t="s">
        <v>124</v>
      </c>
      <c r="C88" s="46">
        <f>(HearingAids[[#This Row],[haMSRP]]*2)+HearingAids[[#This Row],[chargerPrice]]</f>
        <v>11963</v>
      </c>
      <c r="D88" s="47">
        <v>5819</v>
      </c>
      <c r="E88" s="47" t="s">
        <v>10</v>
      </c>
      <c r="F88" s="47">
        <f>HearingAids[[#This Row],[haMSRP]]-((HearingAids[[#This Row],[ListPriceBinural]]-HearingAids[[#This Row],[chargerPrice]])/2)</f>
        <v>1256.5</v>
      </c>
      <c r="G88" s="47">
        <f>HearingAids[[#This Row],[haMSRP]]-HearingAids[[#This Row],[Discount Amount 1]]</f>
        <v>4562.5</v>
      </c>
      <c r="H88" s="53">
        <v>9450</v>
      </c>
      <c r="I88" s="65" t="s">
        <v>141</v>
      </c>
      <c r="J88" s="49">
        <f>(HearingAids[[#This Row],[haMSRP]]-HearingAids[[#This Row],[Discount Amount 1]])-(HearingAids[[#This Row],[haNetPriceBinural]]-HearingAids[[#This Row],[chargerPrice]])/2</f>
        <v>0</v>
      </c>
      <c r="K88" s="49">
        <f>HearingAids[[#This Row],[HAListPrice]]-HearingAids[[#This Row],[Discount Amount 2]]</f>
        <v>4562.5</v>
      </c>
      <c r="L88" s="53">
        <v>9450</v>
      </c>
      <c r="M88" s="49"/>
      <c r="N88" s="49"/>
      <c r="O88" s="49"/>
      <c r="P88" s="49"/>
      <c r="Q88" s="50">
        <v>1</v>
      </c>
      <c r="R88" s="49" t="s">
        <v>52</v>
      </c>
      <c r="S88" s="49">
        <v>325</v>
      </c>
      <c r="T88" s="6" t="s">
        <v>55</v>
      </c>
      <c r="U88" s="49">
        <v>0</v>
      </c>
      <c r="V88" s="59" t="s">
        <v>56</v>
      </c>
      <c r="W88" s="4"/>
      <c r="Y88" s="16"/>
      <c r="Z88" s="16"/>
      <c r="AA88" s="16"/>
      <c r="AB88"/>
      <c r="AC88"/>
      <c r="AD88"/>
      <c r="AE88"/>
    </row>
    <row r="89" spans="1:31" ht="12.75" hidden="1">
      <c r="A89" s="45" t="s">
        <v>125</v>
      </c>
      <c r="B89" s="45" t="s">
        <v>126</v>
      </c>
      <c r="C89" s="46">
        <f>(HearingAids[[#This Row],[haMSRP]]*2)+HearingAids[[#This Row],[chargerPrice]]</f>
        <v>7703</v>
      </c>
      <c r="D89" s="47">
        <v>3689</v>
      </c>
      <c r="E89" s="47" t="s">
        <v>10</v>
      </c>
      <c r="F89" s="47">
        <f>HearingAids[[#This Row],[haMSRP]]-((HearingAids[[#This Row],[ListPriceBinural]]-HearingAids[[#This Row],[chargerPrice]])/2)</f>
        <v>326.5</v>
      </c>
      <c r="G89" s="47">
        <f>HearingAids[[#This Row],[haMSRP]]-HearingAids[[#This Row],[Discount Amount 1]]</f>
        <v>3362.5</v>
      </c>
      <c r="H89" s="53">
        <v>7050</v>
      </c>
      <c r="I89" s="65" t="s">
        <v>141</v>
      </c>
      <c r="J89" s="49">
        <f>(HearingAids[[#This Row],[haMSRP]]-HearingAids[[#This Row],[Discount Amount 1]])-(HearingAids[[#This Row],[haNetPriceBinural]]-HearingAids[[#This Row],[chargerPrice]])/2</f>
        <v>0</v>
      </c>
      <c r="K89" s="49">
        <f>HearingAids[[#This Row],[HAListPrice]]-HearingAids[[#This Row],[Discount Amount 2]]</f>
        <v>3362.5</v>
      </c>
      <c r="L89" s="53">
        <v>7050</v>
      </c>
      <c r="M89" s="49"/>
      <c r="N89" s="49"/>
      <c r="O89" s="49"/>
      <c r="P89" s="49"/>
      <c r="Q89" s="50">
        <v>1</v>
      </c>
      <c r="R89" s="49" t="s">
        <v>52</v>
      </c>
      <c r="S89" s="49">
        <v>325</v>
      </c>
      <c r="T89" s="6" t="s">
        <v>55</v>
      </c>
      <c r="U89" s="49">
        <v>0</v>
      </c>
      <c r="V89" s="59" t="s">
        <v>56</v>
      </c>
      <c r="W89" s="4"/>
      <c r="Y89" s="16"/>
      <c r="Z89" s="16"/>
      <c r="AA89" s="16"/>
      <c r="AB89"/>
      <c r="AC89"/>
      <c r="AD89"/>
      <c r="AE89"/>
    </row>
    <row r="90" spans="1:31" ht="12.75" hidden="1">
      <c r="A90" s="45" t="s">
        <v>127</v>
      </c>
      <c r="B90" s="45" t="s">
        <v>128</v>
      </c>
      <c r="C90" s="46">
        <f>(HearingAids[[#This Row],[haMSRP]]*2)+HearingAids[[#This Row],[chargerPrice]]</f>
        <v>9683</v>
      </c>
      <c r="D90" s="47">
        <v>4679</v>
      </c>
      <c r="E90" s="47" t="s">
        <v>10</v>
      </c>
      <c r="F90" s="47">
        <f>HearingAids[[#This Row],[haMSRP]]-((HearingAids[[#This Row],[ListPriceBinural]]-HearingAids[[#This Row],[chargerPrice]])/2)</f>
        <v>666.5</v>
      </c>
      <c r="G90" s="47">
        <f>HearingAids[[#This Row],[haMSRP]]-HearingAids[[#This Row],[Discount Amount 1]]</f>
        <v>4012.5</v>
      </c>
      <c r="H90" s="53">
        <v>8350</v>
      </c>
      <c r="I90" s="65" t="s">
        <v>141</v>
      </c>
      <c r="J90" s="49">
        <f>(HearingAids[[#This Row],[haMSRP]]-HearingAids[[#This Row],[Discount Amount 1]])-(HearingAids[[#This Row],[haNetPriceBinural]]-HearingAids[[#This Row],[chargerPrice]])/2</f>
        <v>0</v>
      </c>
      <c r="K90" s="49">
        <f>HearingAids[[#This Row],[HAListPrice]]-HearingAids[[#This Row],[Discount Amount 2]]</f>
        <v>4012.5</v>
      </c>
      <c r="L90" s="53">
        <v>8350</v>
      </c>
      <c r="M90" s="49"/>
      <c r="N90" s="49"/>
      <c r="O90" s="49"/>
      <c r="P90" s="49"/>
      <c r="Q90" s="50">
        <v>1</v>
      </c>
      <c r="R90" s="49" t="s">
        <v>52</v>
      </c>
      <c r="S90" s="49">
        <v>325</v>
      </c>
      <c r="T90" s="6" t="s">
        <v>55</v>
      </c>
      <c r="U90" s="49">
        <v>0</v>
      </c>
      <c r="V90" s="59" t="s">
        <v>56</v>
      </c>
      <c r="W90" s="4"/>
      <c r="Y90" s="16"/>
      <c r="Z90" s="16"/>
      <c r="AA90" s="16"/>
      <c r="AB90"/>
      <c r="AC90"/>
      <c r="AD90"/>
      <c r="AE90"/>
    </row>
    <row r="91" spans="1:31" ht="12.75" hidden="1">
      <c r="A91" s="45" t="s">
        <v>130</v>
      </c>
      <c r="B91" s="45" t="s">
        <v>131</v>
      </c>
      <c r="C91" s="46">
        <f>(HearingAids[[#This Row],[haMSRP]]*2)+HearingAids[[#This Row],[chargerPrice]]</f>
        <v>11863</v>
      </c>
      <c r="D91" s="49">
        <v>5819</v>
      </c>
      <c r="E91" s="49" t="s">
        <v>10</v>
      </c>
      <c r="F91" s="47">
        <f>HearingAids[[#This Row],[haMSRP]]-((HearingAids[[#This Row],[ListPriceBinural]]-HearingAids[[#This Row],[chargerPrice]])/2)</f>
        <v>1206.5</v>
      </c>
      <c r="G91" s="47">
        <f>HearingAids[[#This Row],[haMSRP]]-HearingAids[[#This Row],[Discount Amount 1]]</f>
        <v>4612.5</v>
      </c>
      <c r="H91" s="53">
        <v>9450</v>
      </c>
      <c r="I91" s="90" t="s">
        <v>141</v>
      </c>
      <c r="J91" s="49"/>
      <c r="K91" s="49">
        <f>HearingAids[[#This Row],[HAListPrice]]-HearingAids[[#This Row],[Discount Amount 2]]</f>
        <v>4612.5</v>
      </c>
      <c r="L91" s="53">
        <v>9450</v>
      </c>
      <c r="M91" s="49"/>
      <c r="N91" s="49"/>
      <c r="O91" s="49"/>
      <c r="P91" s="49"/>
      <c r="Q91" s="50">
        <v>1</v>
      </c>
      <c r="R91" s="85" t="s">
        <v>49</v>
      </c>
      <c r="S91" s="86">
        <v>225</v>
      </c>
      <c r="T91" s="52" t="s">
        <v>55</v>
      </c>
      <c r="U91" s="52">
        <v>0</v>
      </c>
      <c r="V91" s="52" t="s">
        <v>56</v>
      </c>
      <c r="W91" s="4"/>
      <c r="Y91" s="16"/>
      <c r="Z91" s="16"/>
      <c r="AA91" s="16"/>
      <c r="AB91"/>
      <c r="AC91"/>
      <c r="AD91"/>
      <c r="AE91"/>
    </row>
    <row r="92" spans="1:31" ht="12.75" hidden="1">
      <c r="A92" s="45" t="s">
        <v>120</v>
      </c>
      <c r="B92" s="45" t="s">
        <v>121</v>
      </c>
      <c r="C92" s="46">
        <f>(HearingAids[[#This Row],[haMSRP]]*2)+HearingAids[[#This Row],[chargerPrice]]</f>
        <v>6283</v>
      </c>
      <c r="D92" s="49">
        <v>3029</v>
      </c>
      <c r="E92" s="49" t="s">
        <v>10</v>
      </c>
      <c r="F92" s="47">
        <f>HearingAids[[#This Row],[haMSRP]]-((HearingAids[[#This Row],[ListPriceBinural]]-HearingAids[[#This Row],[chargerPrice]])/2)</f>
        <v>616.5</v>
      </c>
      <c r="G92" s="47">
        <f>HearingAids[[#This Row],[haMSRP]]-HearingAids[[#This Row],[Discount Amount 1]]</f>
        <v>2412.5</v>
      </c>
      <c r="H92" s="53">
        <v>5050</v>
      </c>
      <c r="I92" s="90" t="s">
        <v>141</v>
      </c>
      <c r="J92" s="49"/>
      <c r="K92" s="49">
        <f>HearingAids[[#This Row],[HAListPrice]]-HearingAids[[#This Row],[Discount Amount 2]]</f>
        <v>2412.5</v>
      </c>
      <c r="L92" s="53">
        <v>5050</v>
      </c>
      <c r="M92" s="49"/>
      <c r="N92" s="49"/>
      <c r="O92" s="49"/>
      <c r="P92" s="49"/>
      <c r="Q92" s="50">
        <v>1</v>
      </c>
      <c r="R92" s="85" t="s">
        <v>49</v>
      </c>
      <c r="S92" s="86">
        <v>225</v>
      </c>
      <c r="T92" s="52"/>
      <c r="U92" s="52"/>
      <c r="V92" s="52"/>
      <c r="W92" s="4"/>
      <c r="Y92" s="16"/>
      <c r="Z92" s="16"/>
      <c r="AA92" s="16"/>
      <c r="AB92"/>
      <c r="AC92"/>
      <c r="AD92"/>
      <c r="AE92"/>
    </row>
    <row r="93" spans="1:31" ht="12.75" hidden="1">
      <c r="A93" s="45" t="s">
        <v>134</v>
      </c>
      <c r="B93" s="45" t="s">
        <v>133</v>
      </c>
      <c r="C93" s="46">
        <f>(HearingAids[[#This Row],[haMSRP]]*2)+HearingAids[[#This Row],[chargerPrice]]</f>
        <v>9583</v>
      </c>
      <c r="D93" s="49">
        <v>4679</v>
      </c>
      <c r="E93" s="49" t="s">
        <v>10</v>
      </c>
      <c r="F93" s="47">
        <f>HearingAids[[#This Row],[haMSRP]]-((HearingAids[[#This Row],[ListPriceBinural]]-HearingAids[[#This Row],[chargerPrice]])/2)</f>
        <v>1266.5</v>
      </c>
      <c r="G93" s="47">
        <f>HearingAids[[#This Row],[haMSRP]]-HearingAids[[#This Row],[Discount Amount 1]]</f>
        <v>3412.5</v>
      </c>
      <c r="H93" s="53">
        <v>7050</v>
      </c>
      <c r="I93" s="90" t="s">
        <v>141</v>
      </c>
      <c r="J93" s="49"/>
      <c r="K93" s="49">
        <f>HearingAids[[#This Row],[HAListPrice]]-HearingAids[[#This Row],[Discount Amount 2]]</f>
        <v>3412.5</v>
      </c>
      <c r="L93" s="53">
        <v>7050</v>
      </c>
      <c r="M93" s="49"/>
      <c r="N93" s="49"/>
      <c r="O93" s="49"/>
      <c r="P93" s="49"/>
      <c r="Q93" s="50">
        <v>1</v>
      </c>
      <c r="R93" s="85" t="s">
        <v>49</v>
      </c>
      <c r="S93" s="86">
        <v>225</v>
      </c>
      <c r="T93" s="52" t="s">
        <v>55</v>
      </c>
      <c r="U93" s="52">
        <v>0</v>
      </c>
      <c r="V93" s="52" t="s">
        <v>56</v>
      </c>
      <c r="W93" s="4"/>
      <c r="Y93" s="16"/>
      <c r="Z93" s="16"/>
      <c r="AA93" s="16"/>
      <c r="AB93"/>
      <c r="AC93"/>
      <c r="AD93"/>
      <c r="AE93"/>
    </row>
    <row r="94" spans="1:31" ht="12.75" hidden="1">
      <c r="A94" s="45" t="s">
        <v>132</v>
      </c>
      <c r="B94" s="45" t="s">
        <v>135</v>
      </c>
      <c r="C94" s="46">
        <f>(HearingAids[[#This Row],[haMSRP]]*2)+HearingAids[[#This Row],[chargerPrice]]</f>
        <v>7603</v>
      </c>
      <c r="D94" s="49">
        <v>3689</v>
      </c>
      <c r="E94" s="49" t="s">
        <v>10</v>
      </c>
      <c r="F94" s="47">
        <f>HearingAids[[#This Row],[haMSRP]]-((HearingAids[[#This Row],[ListPriceBinural]]-HearingAids[[#This Row],[chargerPrice]])/2)</f>
        <v>-373.5</v>
      </c>
      <c r="G94" s="47">
        <f>HearingAids[[#This Row],[haMSRP]]-HearingAids[[#This Row],[Discount Amount 1]]</f>
        <v>4062.5</v>
      </c>
      <c r="H94" s="53">
        <v>8350</v>
      </c>
      <c r="I94" s="90" t="s">
        <v>141</v>
      </c>
      <c r="J94" s="49"/>
      <c r="K94" s="49">
        <f>HearingAids[[#This Row],[HAListPrice]]-HearingAids[[#This Row],[Discount Amount 2]]</f>
        <v>4062.5</v>
      </c>
      <c r="L94" s="53">
        <v>8350</v>
      </c>
      <c r="M94" s="49"/>
      <c r="N94" s="49"/>
      <c r="O94" s="49"/>
      <c r="P94" s="49"/>
      <c r="Q94" s="50">
        <v>1</v>
      </c>
      <c r="R94" s="85" t="s">
        <v>49</v>
      </c>
      <c r="S94" s="86">
        <v>225</v>
      </c>
      <c r="T94" s="52" t="s">
        <v>55</v>
      </c>
      <c r="U94" s="52">
        <v>0</v>
      </c>
      <c r="V94" s="52" t="s">
        <v>56</v>
      </c>
      <c r="W94" s="4"/>
      <c r="Y94" s="16"/>
      <c r="Z94" s="16"/>
      <c r="AA94" s="16"/>
      <c r="AB94"/>
      <c r="AC94"/>
      <c r="AD94"/>
      <c r="AE94"/>
    </row>
    <row r="95" spans="1:31" ht="12.75" hidden="1">
      <c r="A95" s="45" t="s">
        <v>47</v>
      </c>
      <c r="B95" s="45" t="s">
        <v>48</v>
      </c>
      <c r="C95" s="46">
        <f>(HearingAids[[#This Row],[haMSRP]]*2)+HearingAids[[#This Row],[chargerPrice]]</f>
        <v>4903</v>
      </c>
      <c r="D95" s="47">
        <v>2339</v>
      </c>
      <c r="E95" s="47" t="s">
        <v>10</v>
      </c>
      <c r="F95" s="47">
        <f>HearingAids[[#This Row],[haMSRP]]-((HearingAids[[#This Row],[ListPriceBinural]]-HearingAids[[#This Row],[chargerPrice]])/2)</f>
        <v>701.5</v>
      </c>
      <c r="G95" s="47">
        <f>HearingAids[[#This Row],[haMSRP]]-HearingAids[[#This Row],[Discount Amount 1]]</f>
        <v>1637.5</v>
      </c>
      <c r="H95" s="54">
        <v>3500</v>
      </c>
      <c r="I95" s="65" t="s">
        <v>152</v>
      </c>
      <c r="J95" s="49">
        <f>(HearingAids[[#This Row],[haMSRP]]-HearingAids[[#This Row],[Discount Amount 1]])-(HearingAids[[#This Row],[haNetPriceBinural]]-HearingAids[[#This Row],[chargerPrice]])/2</f>
        <v>55</v>
      </c>
      <c r="K95" s="49">
        <f>HearingAids[[#This Row],[HAListPrice]]-HearingAids[[#This Row],[Discount Amount 2]]</f>
        <v>1582.5</v>
      </c>
      <c r="L95" s="54">
        <v>3390</v>
      </c>
      <c r="M95" s="49"/>
      <c r="N95" s="49"/>
      <c r="O95" s="49"/>
      <c r="P95" s="86"/>
      <c r="Q95" s="87">
        <v>1</v>
      </c>
      <c r="R95" s="88" t="s">
        <v>49</v>
      </c>
      <c r="S95" s="86">
        <v>225</v>
      </c>
      <c r="T95" s="89" t="s">
        <v>63</v>
      </c>
      <c r="U95" s="16">
        <v>0</v>
      </c>
      <c r="V95" s="60" t="s">
        <v>56</v>
      </c>
      <c r="W95" s="4"/>
      <c r="Y95" s="16"/>
      <c r="Z95" s="16"/>
      <c r="AA95" s="16"/>
      <c r="AB95"/>
      <c r="AC95"/>
      <c r="AD95"/>
      <c r="AE95"/>
    </row>
    <row r="96" spans="1:31" ht="12.75" hidden="1">
      <c r="A96" s="45" t="s">
        <v>123</v>
      </c>
      <c r="B96" s="45" t="s">
        <v>124</v>
      </c>
      <c r="C96" s="46">
        <f>(HearingAids[[#This Row],[haMSRP]]*2)+HearingAids[[#This Row],[chargerPrice]]</f>
        <v>11963</v>
      </c>
      <c r="D96" s="47">
        <v>5819</v>
      </c>
      <c r="E96" s="47" t="s">
        <v>10</v>
      </c>
      <c r="F96" s="47">
        <f>HearingAids[[#This Row],[haMSRP]]-((HearingAids[[#This Row],[ListPriceBinural]]-HearingAids[[#This Row],[chargerPrice]])/2)</f>
        <v>1256.5</v>
      </c>
      <c r="G96" s="47">
        <f>HearingAids[[#This Row],[haMSRP]]-HearingAids[[#This Row],[Discount Amount 1]]</f>
        <v>4562.5</v>
      </c>
      <c r="H96" s="53">
        <v>9450</v>
      </c>
      <c r="I96" s="65" t="s">
        <v>152</v>
      </c>
      <c r="J96" s="49">
        <f>(HearingAids[[#This Row],[haMSRP]]-HearingAids[[#This Row],[Discount Amount 1]])-(HearingAids[[#This Row],[haNetPriceBinural]]-HearingAids[[#This Row],[chargerPrice]])/2</f>
        <v>1380</v>
      </c>
      <c r="K96" s="49">
        <f>HearingAids[[#This Row],[HAListPrice]]-HearingAids[[#This Row],[Discount Amount 2]]</f>
        <v>3182.5</v>
      </c>
      <c r="L96" s="53">
        <v>6690</v>
      </c>
      <c r="M96" s="49"/>
      <c r="N96" s="49"/>
      <c r="O96" s="49"/>
      <c r="P96" s="49"/>
      <c r="Q96" s="50">
        <v>1</v>
      </c>
      <c r="R96" s="49" t="s">
        <v>52</v>
      </c>
      <c r="S96" s="49">
        <v>325</v>
      </c>
      <c r="T96" s="6" t="s">
        <v>55</v>
      </c>
      <c r="U96" s="49">
        <v>0</v>
      </c>
      <c r="V96" s="59" t="s">
        <v>56</v>
      </c>
      <c r="Y96" s="16"/>
      <c r="Z96" s="16"/>
      <c r="AA96" s="16"/>
      <c r="AB96"/>
      <c r="AC96"/>
      <c r="AD96"/>
      <c r="AE96"/>
    </row>
    <row r="97" spans="1:31" ht="12.75" hidden="1">
      <c r="A97" s="45" t="s">
        <v>125</v>
      </c>
      <c r="B97" s="45" t="s">
        <v>126</v>
      </c>
      <c r="C97" s="46">
        <f>(HearingAids[[#This Row],[haMSRP]]*2)+HearingAids[[#This Row],[chargerPrice]]</f>
        <v>7703</v>
      </c>
      <c r="D97" s="47">
        <v>3689</v>
      </c>
      <c r="E97" s="47" t="s">
        <v>10</v>
      </c>
      <c r="F97" s="47">
        <f>HearingAids[[#This Row],[haMSRP]]-((HearingAids[[#This Row],[ListPriceBinural]]-HearingAids[[#This Row],[chargerPrice]])/2)</f>
        <v>326.5</v>
      </c>
      <c r="G97" s="47">
        <f>HearingAids[[#This Row],[haMSRP]]-HearingAids[[#This Row],[Discount Amount 1]]</f>
        <v>3362.5</v>
      </c>
      <c r="H97" s="53">
        <v>7050</v>
      </c>
      <c r="I97" s="65" t="s">
        <v>152</v>
      </c>
      <c r="J97" s="49">
        <f>(HearingAids[[#This Row],[haMSRP]]-HearingAids[[#This Row],[Discount Amount 1]])-(HearingAids[[#This Row],[haNetPriceBinural]]-HearingAids[[#This Row],[chargerPrice]])/2</f>
        <v>1080</v>
      </c>
      <c r="K97" s="49">
        <f>HearingAids[[#This Row],[HAListPrice]]-HearingAids[[#This Row],[Discount Amount 2]]</f>
        <v>2282.5</v>
      </c>
      <c r="L97" s="53">
        <v>4890</v>
      </c>
      <c r="M97" s="49"/>
      <c r="N97" s="49"/>
      <c r="O97" s="49"/>
      <c r="P97" s="49"/>
      <c r="Q97" s="50">
        <v>1</v>
      </c>
      <c r="R97" s="49" t="s">
        <v>52</v>
      </c>
      <c r="S97" s="49">
        <v>325</v>
      </c>
      <c r="T97" s="6" t="s">
        <v>55</v>
      </c>
      <c r="U97" s="49">
        <v>0</v>
      </c>
      <c r="V97" s="59" t="s">
        <v>56</v>
      </c>
      <c r="Y97" s="16"/>
      <c r="Z97" s="16"/>
      <c r="AA97" s="16"/>
      <c r="AB97"/>
      <c r="AC97"/>
      <c r="AD97"/>
      <c r="AE97"/>
    </row>
    <row r="98" spans="1:31" ht="12.75" hidden="1">
      <c r="A98" s="45" t="s">
        <v>127</v>
      </c>
      <c r="B98" s="45" t="s">
        <v>128</v>
      </c>
      <c r="C98" s="46">
        <f>(HearingAids[[#This Row],[haMSRP]]*2)+HearingAids[[#This Row],[chargerPrice]]</f>
        <v>9683</v>
      </c>
      <c r="D98" s="47">
        <v>4679</v>
      </c>
      <c r="E98" s="47" t="s">
        <v>10</v>
      </c>
      <c r="F98" s="47">
        <f>HearingAids[[#This Row],[haMSRP]]-((HearingAids[[#This Row],[ListPriceBinural]]-HearingAids[[#This Row],[chargerPrice]])/2)</f>
        <v>666.5</v>
      </c>
      <c r="G98" s="47">
        <f>HearingAids[[#This Row],[haMSRP]]-HearingAids[[#This Row],[Discount Amount 1]]</f>
        <v>4012.5</v>
      </c>
      <c r="H98" s="53">
        <v>8350</v>
      </c>
      <c r="I98" s="65" t="s">
        <v>152</v>
      </c>
      <c r="J98" s="49">
        <f>(HearingAids[[#This Row],[haMSRP]]-HearingAids[[#This Row],[Discount Amount 1]])-(HearingAids[[#This Row],[haNetPriceBinural]]-HearingAids[[#This Row],[chargerPrice]])/2</f>
        <v>1330</v>
      </c>
      <c r="K98" s="49">
        <f>HearingAids[[#This Row],[HAListPrice]]-HearingAids[[#This Row],[Discount Amount 2]]</f>
        <v>2682.5</v>
      </c>
      <c r="L98" s="53">
        <v>5690</v>
      </c>
      <c r="M98" s="49"/>
      <c r="N98" s="49"/>
      <c r="O98" s="49"/>
      <c r="P98" s="49"/>
      <c r="Q98" s="50">
        <v>1</v>
      </c>
      <c r="R98" s="49" t="s">
        <v>52</v>
      </c>
      <c r="S98" s="49">
        <v>325</v>
      </c>
      <c r="T98" s="6" t="s">
        <v>55</v>
      </c>
      <c r="U98" s="49">
        <v>0</v>
      </c>
      <c r="V98" s="59" t="s">
        <v>56</v>
      </c>
      <c r="Y98" s="16"/>
      <c r="Z98" s="16"/>
      <c r="AA98" s="16"/>
      <c r="AB98"/>
      <c r="AC98"/>
      <c r="AD98"/>
      <c r="AE98"/>
    </row>
    <row r="99" spans="1:31" ht="12.75" hidden="1">
      <c r="A99" s="45" t="s">
        <v>47</v>
      </c>
      <c r="B99" s="45" t="s">
        <v>48</v>
      </c>
      <c r="C99" s="46">
        <f>(HearingAids[[#This Row],[haMSRP]]*2)+HearingAids[[#This Row],[chargerPrice]]</f>
        <v>4903</v>
      </c>
      <c r="D99" s="47">
        <v>2339</v>
      </c>
      <c r="E99" s="47" t="s">
        <v>10</v>
      </c>
      <c r="F99" s="47">
        <f>HearingAids[[#This Row],[haMSRP]]-((HearingAids[[#This Row],[ListPriceBinural]]-HearingAids[[#This Row],[chargerPrice]])/2)</f>
        <v>701.5</v>
      </c>
      <c r="G99" s="47">
        <f>HearingAids[[#This Row],[haMSRP]]-HearingAids[[#This Row],[Discount Amount 1]]</f>
        <v>1637.5</v>
      </c>
      <c r="H99" s="54">
        <v>3500</v>
      </c>
      <c r="I99" s="65" t="s">
        <v>153</v>
      </c>
      <c r="J99" s="49">
        <f>(HearingAids[[#This Row],[haMSRP]]-HearingAids[[#This Row],[Discount Amount 1]])-(HearingAids[[#This Row],[haNetPriceBinural]]-HearingAids[[#This Row],[chargerPrice]])/2</f>
        <v>55</v>
      </c>
      <c r="K99" s="49">
        <f>HearingAids[[#This Row],[HAListPrice]]-HearingAids[[#This Row],[Discount Amount 2]]</f>
        <v>1582.5</v>
      </c>
      <c r="L99" s="54">
        <v>3390</v>
      </c>
      <c r="M99" s="49"/>
      <c r="N99" s="49"/>
      <c r="O99" s="49"/>
      <c r="P99" s="86"/>
      <c r="Q99" s="87">
        <v>1</v>
      </c>
      <c r="R99" s="88" t="s">
        <v>49</v>
      </c>
      <c r="S99" s="86">
        <v>225</v>
      </c>
      <c r="T99" s="89" t="s">
        <v>63</v>
      </c>
      <c r="U99" s="16">
        <v>0</v>
      </c>
      <c r="V99" s="60" t="s">
        <v>56</v>
      </c>
      <c r="Y99" s="16"/>
      <c r="Z99" s="16"/>
      <c r="AA99" s="16"/>
      <c r="AB99"/>
      <c r="AC99"/>
      <c r="AD99"/>
      <c r="AE99"/>
    </row>
    <row r="100" spans="1:31" ht="12.75" hidden="1">
      <c r="A100" s="45" t="s">
        <v>123</v>
      </c>
      <c r="B100" s="45" t="s">
        <v>124</v>
      </c>
      <c r="C100" s="46">
        <f>(HearingAids[[#This Row],[haMSRP]]*2)+HearingAids[[#This Row],[chargerPrice]]</f>
        <v>11963</v>
      </c>
      <c r="D100" s="47">
        <v>5819</v>
      </c>
      <c r="E100" s="47" t="s">
        <v>10</v>
      </c>
      <c r="F100" s="47">
        <f>HearingAids[[#This Row],[haMSRP]]-((HearingAids[[#This Row],[ListPriceBinural]]-HearingAids[[#This Row],[chargerPrice]])/2)</f>
        <v>1256.5</v>
      </c>
      <c r="G100" s="47">
        <f>HearingAids[[#This Row],[haMSRP]]-HearingAids[[#This Row],[Discount Amount 1]]</f>
        <v>4562.5</v>
      </c>
      <c r="H100" s="53">
        <v>9450</v>
      </c>
      <c r="I100" s="65" t="s">
        <v>153</v>
      </c>
      <c r="J100" s="49">
        <f>(HearingAids[[#This Row],[haMSRP]]-HearingAids[[#This Row],[Discount Amount 1]])-(HearingAids[[#This Row],[haNetPriceBinural]]-HearingAids[[#This Row],[chargerPrice]])/2</f>
        <v>1380</v>
      </c>
      <c r="K100" s="49">
        <f>HearingAids[[#This Row],[HAListPrice]]-HearingAids[[#This Row],[Discount Amount 2]]</f>
        <v>3182.5</v>
      </c>
      <c r="L100" s="53">
        <v>6690</v>
      </c>
      <c r="M100" s="49"/>
      <c r="N100" s="49"/>
      <c r="O100" s="49"/>
      <c r="P100" s="49"/>
      <c r="Q100" s="50">
        <v>1</v>
      </c>
      <c r="R100" s="49" t="s">
        <v>52</v>
      </c>
      <c r="S100" s="49">
        <v>325</v>
      </c>
      <c r="T100" s="6" t="s">
        <v>55</v>
      </c>
      <c r="U100" s="49">
        <v>0</v>
      </c>
      <c r="V100" s="59" t="s">
        <v>56</v>
      </c>
      <c r="Y100" s="16"/>
      <c r="Z100" s="16"/>
      <c r="AA100" s="16"/>
      <c r="AB100"/>
      <c r="AC100"/>
      <c r="AD100"/>
      <c r="AE100"/>
    </row>
    <row r="101" spans="1:31" ht="12.75" hidden="1">
      <c r="A101" s="45" t="s">
        <v>125</v>
      </c>
      <c r="B101" s="45" t="s">
        <v>126</v>
      </c>
      <c r="C101" s="46">
        <f>(HearingAids[[#This Row],[haMSRP]]*2)+HearingAids[[#This Row],[chargerPrice]]</f>
        <v>7703</v>
      </c>
      <c r="D101" s="47">
        <v>3689</v>
      </c>
      <c r="E101" s="47" t="s">
        <v>10</v>
      </c>
      <c r="F101" s="47">
        <f>HearingAids[[#This Row],[haMSRP]]-((HearingAids[[#This Row],[ListPriceBinural]]-HearingAids[[#This Row],[chargerPrice]])/2)</f>
        <v>326.5</v>
      </c>
      <c r="G101" s="47">
        <f>HearingAids[[#This Row],[haMSRP]]-HearingAids[[#This Row],[Discount Amount 1]]</f>
        <v>3362.5</v>
      </c>
      <c r="H101" s="53">
        <v>7050</v>
      </c>
      <c r="I101" s="65" t="s">
        <v>153</v>
      </c>
      <c r="J101" s="49">
        <f>(HearingAids[[#This Row],[haMSRP]]-HearingAids[[#This Row],[Discount Amount 1]])-(HearingAids[[#This Row],[haNetPriceBinural]]-HearingAids[[#This Row],[chargerPrice]])/2</f>
        <v>1080</v>
      </c>
      <c r="K101" s="49">
        <f>HearingAids[[#This Row],[HAListPrice]]-HearingAids[[#This Row],[Discount Amount 2]]</f>
        <v>2282.5</v>
      </c>
      <c r="L101" s="53">
        <v>4890</v>
      </c>
      <c r="M101" s="49"/>
      <c r="N101" s="49"/>
      <c r="O101" s="49"/>
      <c r="P101" s="49"/>
      <c r="Q101" s="50">
        <v>1</v>
      </c>
      <c r="R101" s="49" t="s">
        <v>52</v>
      </c>
      <c r="S101" s="49">
        <v>325</v>
      </c>
      <c r="T101" s="6" t="s">
        <v>55</v>
      </c>
      <c r="U101" s="49">
        <v>0</v>
      </c>
      <c r="V101" s="59" t="s">
        <v>56</v>
      </c>
      <c r="Y101" s="16"/>
      <c r="Z101" s="16"/>
      <c r="AA101" s="16"/>
      <c r="AB101"/>
      <c r="AC101"/>
      <c r="AD101"/>
      <c r="AE101"/>
    </row>
    <row r="102" spans="1:31" ht="12.75" hidden="1">
      <c r="A102" s="45" t="s">
        <v>127</v>
      </c>
      <c r="B102" s="45" t="s">
        <v>128</v>
      </c>
      <c r="C102" s="46">
        <f>(HearingAids[[#This Row],[haMSRP]]*2)+HearingAids[[#This Row],[chargerPrice]]</f>
        <v>9683</v>
      </c>
      <c r="D102" s="47">
        <v>4679</v>
      </c>
      <c r="E102" s="47" t="s">
        <v>10</v>
      </c>
      <c r="F102" s="47">
        <f>HearingAids[[#This Row],[haMSRP]]-((HearingAids[[#This Row],[ListPriceBinural]]-HearingAids[[#This Row],[chargerPrice]])/2)</f>
        <v>666.5</v>
      </c>
      <c r="G102" s="47">
        <f>HearingAids[[#This Row],[haMSRP]]-HearingAids[[#This Row],[Discount Amount 1]]</f>
        <v>4012.5</v>
      </c>
      <c r="H102" s="53">
        <v>8350</v>
      </c>
      <c r="I102" s="65" t="s">
        <v>153</v>
      </c>
      <c r="J102" s="49">
        <f>(HearingAids[[#This Row],[haMSRP]]-HearingAids[[#This Row],[Discount Amount 1]])-(HearingAids[[#This Row],[haNetPriceBinural]]-HearingAids[[#This Row],[chargerPrice]])/2</f>
        <v>1330</v>
      </c>
      <c r="K102" s="49">
        <f>HearingAids[[#This Row],[HAListPrice]]-HearingAids[[#This Row],[Discount Amount 2]]</f>
        <v>2682.5</v>
      </c>
      <c r="L102" s="53">
        <v>5690</v>
      </c>
      <c r="M102" s="49"/>
      <c r="N102" s="49"/>
      <c r="O102" s="49"/>
      <c r="P102" s="49"/>
      <c r="Q102" s="50">
        <v>1</v>
      </c>
      <c r="R102" s="49" t="s">
        <v>52</v>
      </c>
      <c r="S102" s="49">
        <v>325</v>
      </c>
      <c r="T102" s="6" t="s">
        <v>55</v>
      </c>
      <c r="U102" s="49">
        <v>0</v>
      </c>
      <c r="V102" s="59" t="s">
        <v>56</v>
      </c>
      <c r="W102" s="4"/>
      <c r="Y102" s="16"/>
      <c r="Z102" s="16"/>
      <c r="AA102" s="16"/>
      <c r="AB102"/>
      <c r="AC102"/>
      <c r="AD102"/>
      <c r="AE102"/>
    </row>
    <row r="103" spans="1:31" ht="12.75" hidden="1">
      <c r="A103" s="45" t="s">
        <v>47</v>
      </c>
      <c r="B103" s="45" t="s">
        <v>48</v>
      </c>
      <c r="C103" s="46">
        <f>(HearingAids[[#This Row],[haMSRP]]*2)+HearingAids[[#This Row],[chargerPrice]]</f>
        <v>4903</v>
      </c>
      <c r="D103" s="47">
        <v>2339</v>
      </c>
      <c r="E103" s="47" t="s">
        <v>10</v>
      </c>
      <c r="F103" s="47">
        <f>HearingAids[[#This Row],[haMSRP]]-((HearingAids[[#This Row],[ListPriceBinural]]-HearingAids[[#This Row],[chargerPrice]])/2)</f>
        <v>701.5</v>
      </c>
      <c r="G103" s="47">
        <f>HearingAids[[#This Row],[haMSRP]]-HearingAids[[#This Row],[Discount Amount 1]]</f>
        <v>1637.5</v>
      </c>
      <c r="H103" s="54">
        <v>3500</v>
      </c>
      <c r="I103" s="65" t="s">
        <v>154</v>
      </c>
      <c r="J103" s="49">
        <f>(HearingAids[[#This Row],[haMSRP]]-HearingAids[[#This Row],[Discount Amount 1]])-(HearingAids[[#This Row],[haNetPriceBinural]]-HearingAids[[#This Row],[chargerPrice]])/2</f>
        <v>55</v>
      </c>
      <c r="K103" s="49">
        <f>HearingAids[[#This Row],[HAListPrice]]-HearingAids[[#This Row],[Discount Amount 2]]</f>
        <v>1582.5</v>
      </c>
      <c r="L103" s="54">
        <v>3390</v>
      </c>
      <c r="M103" s="49"/>
      <c r="N103" s="49"/>
      <c r="O103" s="49"/>
      <c r="P103" s="86"/>
      <c r="Q103" s="87">
        <v>1</v>
      </c>
      <c r="R103" s="88" t="s">
        <v>49</v>
      </c>
      <c r="S103" s="86">
        <v>225</v>
      </c>
      <c r="T103" s="89" t="s">
        <v>63</v>
      </c>
      <c r="U103" s="16">
        <v>0</v>
      </c>
      <c r="V103" s="60" t="s">
        <v>56</v>
      </c>
      <c r="Y103" s="16"/>
      <c r="Z103" s="16"/>
      <c r="AA103" s="16"/>
      <c r="AB103"/>
      <c r="AC103"/>
      <c r="AD103"/>
      <c r="AE103"/>
    </row>
    <row r="104" spans="1:31" ht="12.75" hidden="1">
      <c r="A104" s="45" t="s">
        <v>123</v>
      </c>
      <c r="B104" s="45" t="s">
        <v>124</v>
      </c>
      <c r="C104" s="46">
        <f>(HearingAids[[#This Row],[haMSRP]]*2)+HearingAids[[#This Row],[chargerPrice]]</f>
        <v>11963</v>
      </c>
      <c r="D104" s="47">
        <v>5819</v>
      </c>
      <c r="E104" s="47" t="s">
        <v>10</v>
      </c>
      <c r="F104" s="47">
        <f>HearingAids[[#This Row],[haMSRP]]-((HearingAids[[#This Row],[ListPriceBinural]]-HearingAids[[#This Row],[chargerPrice]])/2)</f>
        <v>1256.5</v>
      </c>
      <c r="G104" s="47">
        <f>HearingAids[[#This Row],[haMSRP]]-HearingAids[[#This Row],[Discount Amount 1]]</f>
        <v>4562.5</v>
      </c>
      <c r="H104" s="53">
        <v>9450</v>
      </c>
      <c r="I104" s="65" t="s">
        <v>154</v>
      </c>
      <c r="J104" s="49">
        <f>(HearingAids[[#This Row],[haMSRP]]-HearingAids[[#This Row],[Discount Amount 1]])-(HearingAids[[#This Row],[haNetPriceBinural]]-HearingAids[[#This Row],[chargerPrice]])/2</f>
        <v>1380</v>
      </c>
      <c r="K104" s="49">
        <f>HearingAids[[#This Row],[HAListPrice]]-HearingAids[[#This Row],[Discount Amount 2]]</f>
        <v>3182.5</v>
      </c>
      <c r="L104" s="53">
        <v>6690</v>
      </c>
      <c r="M104" s="49"/>
      <c r="N104" s="49"/>
      <c r="O104" s="49"/>
      <c r="P104" s="49"/>
      <c r="Q104" s="50">
        <v>1</v>
      </c>
      <c r="R104" s="49" t="s">
        <v>52</v>
      </c>
      <c r="S104" s="49">
        <v>325</v>
      </c>
      <c r="T104" s="6" t="s">
        <v>55</v>
      </c>
      <c r="U104" s="49">
        <v>0</v>
      </c>
      <c r="V104" s="59" t="s">
        <v>56</v>
      </c>
      <c r="Y104" s="16"/>
      <c r="Z104" s="16"/>
      <c r="AA104" s="16"/>
      <c r="AB104"/>
      <c r="AC104"/>
      <c r="AD104"/>
      <c r="AE104"/>
    </row>
    <row r="105" spans="1:31" ht="12.75" hidden="1">
      <c r="A105" s="45" t="s">
        <v>125</v>
      </c>
      <c r="B105" s="45" t="s">
        <v>126</v>
      </c>
      <c r="C105" s="46">
        <f>(HearingAids[[#This Row],[haMSRP]]*2)+HearingAids[[#This Row],[chargerPrice]]</f>
        <v>7703</v>
      </c>
      <c r="D105" s="47">
        <v>3689</v>
      </c>
      <c r="E105" s="47" t="s">
        <v>10</v>
      </c>
      <c r="F105" s="47">
        <f>HearingAids[[#This Row],[haMSRP]]-((HearingAids[[#This Row],[ListPriceBinural]]-HearingAids[[#This Row],[chargerPrice]])/2)</f>
        <v>326.5</v>
      </c>
      <c r="G105" s="47">
        <f>HearingAids[[#This Row],[haMSRP]]-HearingAids[[#This Row],[Discount Amount 1]]</f>
        <v>3362.5</v>
      </c>
      <c r="H105" s="53">
        <v>7050</v>
      </c>
      <c r="I105" s="65" t="s">
        <v>154</v>
      </c>
      <c r="J105" s="49">
        <f>(HearingAids[[#This Row],[haMSRP]]-HearingAids[[#This Row],[Discount Amount 1]])-(HearingAids[[#This Row],[haNetPriceBinural]]-HearingAids[[#This Row],[chargerPrice]])/2</f>
        <v>1080</v>
      </c>
      <c r="K105" s="49">
        <f>HearingAids[[#This Row],[HAListPrice]]-HearingAids[[#This Row],[Discount Amount 2]]</f>
        <v>2282.5</v>
      </c>
      <c r="L105" s="53">
        <v>4890</v>
      </c>
      <c r="M105" s="49"/>
      <c r="N105" s="49"/>
      <c r="O105" s="49"/>
      <c r="P105" s="49"/>
      <c r="Q105" s="50">
        <v>1</v>
      </c>
      <c r="R105" s="49" t="s">
        <v>52</v>
      </c>
      <c r="S105" s="49">
        <v>325</v>
      </c>
      <c r="T105" s="6" t="s">
        <v>55</v>
      </c>
      <c r="U105" s="49">
        <v>0</v>
      </c>
      <c r="V105" s="59" t="s">
        <v>56</v>
      </c>
      <c r="Y105" s="16"/>
      <c r="Z105" s="16"/>
      <c r="AA105" s="16"/>
      <c r="AB105"/>
      <c r="AC105"/>
      <c r="AD105"/>
      <c r="AE105"/>
    </row>
    <row r="106" spans="1:31" ht="12.75" hidden="1">
      <c r="A106" s="45" t="s">
        <v>127</v>
      </c>
      <c r="B106" s="45" t="s">
        <v>128</v>
      </c>
      <c r="C106" s="46">
        <f>(HearingAids[[#This Row],[haMSRP]]*2)+HearingAids[[#This Row],[chargerPrice]]</f>
        <v>9683</v>
      </c>
      <c r="D106" s="47">
        <v>4679</v>
      </c>
      <c r="E106" s="47" t="s">
        <v>10</v>
      </c>
      <c r="F106" s="47">
        <f>HearingAids[[#This Row],[haMSRP]]-((HearingAids[[#This Row],[ListPriceBinural]]-HearingAids[[#This Row],[chargerPrice]])/2)</f>
        <v>666.5</v>
      </c>
      <c r="G106" s="47">
        <f>HearingAids[[#This Row],[haMSRP]]-HearingAids[[#This Row],[Discount Amount 1]]</f>
        <v>4012.5</v>
      </c>
      <c r="H106" s="53">
        <v>8350</v>
      </c>
      <c r="I106" s="65" t="s">
        <v>154</v>
      </c>
      <c r="J106" s="49">
        <f>(HearingAids[[#This Row],[haMSRP]]-HearingAids[[#This Row],[Discount Amount 1]])-(HearingAids[[#This Row],[haNetPriceBinural]]-HearingAids[[#This Row],[chargerPrice]])/2</f>
        <v>1330</v>
      </c>
      <c r="K106" s="49">
        <f>HearingAids[[#This Row],[HAListPrice]]-HearingAids[[#This Row],[Discount Amount 2]]</f>
        <v>2682.5</v>
      </c>
      <c r="L106" s="53">
        <v>5690</v>
      </c>
      <c r="M106" s="49"/>
      <c r="N106" s="49"/>
      <c r="O106" s="49"/>
      <c r="P106" s="49"/>
      <c r="Q106" s="50">
        <v>1</v>
      </c>
      <c r="R106" s="49" t="s">
        <v>52</v>
      </c>
      <c r="S106" s="49">
        <v>325</v>
      </c>
      <c r="T106" s="6" t="s">
        <v>55</v>
      </c>
      <c r="U106" s="49">
        <v>0</v>
      </c>
      <c r="V106" s="59" t="s">
        <v>56</v>
      </c>
      <c r="Y106" s="16"/>
      <c r="Z106" s="16"/>
      <c r="AA106" s="16"/>
      <c r="AB106"/>
      <c r="AC106"/>
      <c r="AD106"/>
      <c r="AE106"/>
    </row>
    <row r="107" spans="1:31" ht="12.75" hidden="1">
      <c r="A107" s="45" t="s">
        <v>47</v>
      </c>
      <c r="B107" s="45" t="s">
        <v>48</v>
      </c>
      <c r="C107" s="46">
        <f>(HearingAids[[#This Row],[haMSRP]]*2)+HearingAids[[#This Row],[chargerPrice]]</f>
        <v>4903</v>
      </c>
      <c r="D107" s="47">
        <v>2339</v>
      </c>
      <c r="E107" s="47" t="s">
        <v>10</v>
      </c>
      <c r="F107" s="47">
        <f>HearingAids[[#This Row],[haMSRP]]-((HearingAids[[#This Row],[ListPriceBinural]]-HearingAids[[#This Row],[chargerPrice]])/2)</f>
        <v>701.5</v>
      </c>
      <c r="G107" s="47">
        <f>HearingAids[[#This Row],[haMSRP]]-HearingAids[[#This Row],[Discount Amount 1]]</f>
        <v>1637.5</v>
      </c>
      <c r="H107" s="54">
        <v>3500</v>
      </c>
      <c r="I107" s="65" t="s">
        <v>155</v>
      </c>
      <c r="J107" s="49">
        <f>(HearingAids[[#This Row],[haMSRP]]-HearingAids[[#This Row],[Discount Amount 1]])-(HearingAids[[#This Row],[haNetPriceBinural]]-HearingAids[[#This Row],[chargerPrice]])/2</f>
        <v>55</v>
      </c>
      <c r="K107" s="49">
        <f>HearingAids[[#This Row],[HAListPrice]]-HearingAids[[#This Row],[Discount Amount 2]]</f>
        <v>1582.5</v>
      </c>
      <c r="L107" s="54">
        <v>3390</v>
      </c>
      <c r="M107" s="49"/>
      <c r="N107" s="49"/>
      <c r="O107" s="49"/>
      <c r="P107" s="86"/>
      <c r="Q107" s="50">
        <v>1</v>
      </c>
      <c r="R107" s="85" t="s">
        <v>49</v>
      </c>
      <c r="S107" s="86">
        <v>225</v>
      </c>
      <c r="T107" s="52" t="s">
        <v>63</v>
      </c>
      <c r="U107" s="52">
        <v>0</v>
      </c>
      <c r="V107" s="51" t="s">
        <v>56</v>
      </c>
      <c r="Y107" s="16"/>
      <c r="Z107" s="16"/>
      <c r="AA107" s="16"/>
      <c r="AB107"/>
      <c r="AC107"/>
      <c r="AD107"/>
      <c r="AE107"/>
    </row>
    <row r="108" spans="1:31" ht="12.75" hidden="1">
      <c r="A108" s="45" t="s">
        <v>123</v>
      </c>
      <c r="B108" s="45" t="s">
        <v>124</v>
      </c>
      <c r="C108" s="46">
        <f>(HearingAids[[#This Row],[haMSRP]]*2)+HearingAids[[#This Row],[chargerPrice]]</f>
        <v>11963</v>
      </c>
      <c r="D108" s="47">
        <v>5819</v>
      </c>
      <c r="E108" s="47" t="s">
        <v>10</v>
      </c>
      <c r="F108" s="47">
        <f>HearingAids[[#This Row],[haMSRP]]-((HearingAids[[#This Row],[ListPriceBinural]]-HearingAids[[#This Row],[chargerPrice]])/2)</f>
        <v>1256.5</v>
      </c>
      <c r="G108" s="47">
        <f>HearingAids[[#This Row],[haMSRP]]-HearingAids[[#This Row],[Discount Amount 1]]</f>
        <v>4562.5</v>
      </c>
      <c r="H108" s="53">
        <v>9450</v>
      </c>
      <c r="I108" s="65" t="s">
        <v>155</v>
      </c>
      <c r="J108" s="49">
        <f>(HearingAids[[#This Row],[haMSRP]]-HearingAids[[#This Row],[Discount Amount 1]])-(HearingAids[[#This Row],[haNetPriceBinural]]-HearingAids[[#This Row],[chargerPrice]])/2</f>
        <v>1380</v>
      </c>
      <c r="K108" s="49">
        <f>HearingAids[[#This Row],[HAListPrice]]-HearingAids[[#This Row],[Discount Amount 2]]</f>
        <v>3182.5</v>
      </c>
      <c r="L108" s="53">
        <v>6690</v>
      </c>
      <c r="M108" s="49"/>
      <c r="N108" s="49"/>
      <c r="O108" s="49"/>
      <c r="P108" s="49"/>
      <c r="Q108" s="50">
        <v>1</v>
      </c>
      <c r="R108" s="49" t="s">
        <v>52</v>
      </c>
      <c r="S108" s="49">
        <v>325</v>
      </c>
      <c r="T108" s="6" t="s">
        <v>55</v>
      </c>
      <c r="U108" s="49">
        <v>0</v>
      </c>
      <c r="V108" s="59" t="s">
        <v>56</v>
      </c>
      <c r="Y108" s="16"/>
      <c r="Z108" s="16"/>
      <c r="AA108" s="16"/>
      <c r="AB108"/>
      <c r="AC108"/>
      <c r="AD108"/>
      <c r="AE108"/>
    </row>
    <row r="109" spans="1:31" ht="12.75" hidden="1">
      <c r="A109" s="45" t="s">
        <v>125</v>
      </c>
      <c r="B109" s="45" t="s">
        <v>126</v>
      </c>
      <c r="C109" s="46">
        <f>(HearingAids[[#This Row],[haMSRP]]*2)+HearingAids[[#This Row],[chargerPrice]]</f>
        <v>7703</v>
      </c>
      <c r="D109" s="47">
        <v>3689</v>
      </c>
      <c r="E109" s="47" t="s">
        <v>10</v>
      </c>
      <c r="F109" s="47">
        <f>HearingAids[[#This Row],[haMSRP]]-((HearingAids[[#This Row],[ListPriceBinural]]-HearingAids[[#This Row],[chargerPrice]])/2)</f>
        <v>326.5</v>
      </c>
      <c r="G109" s="47">
        <f>HearingAids[[#This Row],[haMSRP]]-HearingAids[[#This Row],[Discount Amount 1]]</f>
        <v>3362.5</v>
      </c>
      <c r="H109" s="53">
        <v>7050</v>
      </c>
      <c r="I109" s="65" t="s">
        <v>155</v>
      </c>
      <c r="J109" s="49">
        <f>(HearingAids[[#This Row],[haMSRP]]-HearingAids[[#This Row],[Discount Amount 1]])-(HearingAids[[#This Row],[haNetPriceBinural]]-HearingAids[[#This Row],[chargerPrice]])/2</f>
        <v>1080</v>
      </c>
      <c r="K109" s="49">
        <f>HearingAids[[#This Row],[HAListPrice]]-HearingAids[[#This Row],[Discount Amount 2]]</f>
        <v>2282.5</v>
      </c>
      <c r="L109" s="53">
        <v>4890</v>
      </c>
      <c r="M109" s="49"/>
      <c r="N109" s="49"/>
      <c r="O109" s="49"/>
      <c r="P109" s="49"/>
      <c r="Q109" s="50">
        <v>1</v>
      </c>
      <c r="R109" s="49" t="s">
        <v>52</v>
      </c>
      <c r="S109" s="49">
        <v>325</v>
      </c>
      <c r="T109" s="6" t="s">
        <v>55</v>
      </c>
      <c r="U109" s="49">
        <v>0</v>
      </c>
      <c r="V109" s="59" t="s">
        <v>56</v>
      </c>
      <c r="Y109" s="16"/>
      <c r="Z109" s="16"/>
      <c r="AA109" s="16"/>
      <c r="AB109"/>
      <c r="AC109"/>
      <c r="AD109"/>
      <c r="AE109"/>
    </row>
    <row r="110" spans="1:31" ht="12.75" hidden="1">
      <c r="A110" s="45" t="s">
        <v>127</v>
      </c>
      <c r="B110" s="45" t="s">
        <v>128</v>
      </c>
      <c r="C110" s="46">
        <f>(HearingAids[[#This Row],[haMSRP]]*2)+HearingAids[[#This Row],[chargerPrice]]</f>
        <v>9683</v>
      </c>
      <c r="D110" s="47">
        <v>4679</v>
      </c>
      <c r="E110" s="47" t="s">
        <v>10</v>
      </c>
      <c r="F110" s="47">
        <f>HearingAids[[#This Row],[haMSRP]]-((HearingAids[[#This Row],[ListPriceBinural]]-HearingAids[[#This Row],[chargerPrice]])/2)</f>
        <v>1166.5</v>
      </c>
      <c r="G110" s="47">
        <f>HearingAids[[#This Row],[haMSRP]]-HearingAids[[#This Row],[Discount Amount 1]]</f>
        <v>3512.5</v>
      </c>
      <c r="H110" s="53">
        <v>7350</v>
      </c>
      <c r="I110" s="65" t="s">
        <v>155</v>
      </c>
      <c r="J110" s="49">
        <f>(HearingAids[[#This Row],[haMSRP]]-HearingAids[[#This Row],[Discount Amount 1]])-(HearingAids[[#This Row],[haNetPriceBinural]]-HearingAids[[#This Row],[chargerPrice]])/2</f>
        <v>830</v>
      </c>
      <c r="K110" s="49">
        <f>HearingAids[[#This Row],[HAListPrice]]-HearingAids[[#This Row],[Discount Amount 2]]</f>
        <v>2682.5</v>
      </c>
      <c r="L110" s="53">
        <v>5690</v>
      </c>
      <c r="M110" s="49"/>
      <c r="N110" s="49"/>
      <c r="O110" s="49"/>
      <c r="P110" s="49"/>
      <c r="Q110" s="50">
        <v>1</v>
      </c>
      <c r="R110" s="49" t="s">
        <v>52</v>
      </c>
      <c r="S110" s="49">
        <v>325</v>
      </c>
      <c r="T110" s="6" t="s">
        <v>55</v>
      </c>
      <c r="U110" s="49">
        <v>0</v>
      </c>
      <c r="V110" s="59" t="s">
        <v>56</v>
      </c>
      <c r="Y110" s="16"/>
      <c r="Z110" s="16"/>
      <c r="AA110" s="16"/>
      <c r="AB110"/>
      <c r="AC110"/>
      <c r="AD110"/>
      <c r="AE110"/>
    </row>
    <row r="111" spans="1:31" ht="12.75" hidden="1">
      <c r="A111" s="45" t="s">
        <v>139</v>
      </c>
      <c r="B111" s="45" t="s">
        <v>140</v>
      </c>
      <c r="C111" s="46">
        <f>(HearingAids[[#This Row],[haMSRP]]*2)+HearingAids[[#This Row],[chargerPrice]]</f>
        <v>11638</v>
      </c>
      <c r="D111" s="47">
        <v>5819</v>
      </c>
      <c r="E111" s="47" t="s">
        <v>10</v>
      </c>
      <c r="F111" s="47">
        <f>HearingAids[[#This Row],[haMSRP]]-((HearingAids[[#This Row],[ListPriceBinural]]-HearingAids[[#This Row],[chargerPrice]])/2)</f>
        <v>1094</v>
      </c>
      <c r="G111" s="47">
        <f>HearingAids[[#This Row],[haMSRP]]-HearingAids[[#This Row],[Discount Amount 1]]</f>
        <v>4725</v>
      </c>
      <c r="H111" s="53">
        <v>9450</v>
      </c>
      <c r="I111" s="65" t="s">
        <v>156</v>
      </c>
      <c r="J111" s="49">
        <f>(HearingAids[[#This Row],[haMSRP]]-HearingAids[[#This Row],[Discount Amount 1]])-(HearingAids[[#This Row],[haNetPriceBinural]]-HearingAids[[#This Row],[chargerPrice]])/2</f>
        <v>500</v>
      </c>
      <c r="K111" s="49">
        <f>HearingAids[[#This Row],[HAListPrice]]-HearingAids[[#This Row],[Discount Amount 2]]</f>
        <v>4225</v>
      </c>
      <c r="L111" s="53">
        <f>HearingAids[[#This Row],[ListPriceBinural]]-1000</f>
        <v>8450</v>
      </c>
      <c r="M111" s="49"/>
      <c r="N111" s="49"/>
      <c r="O111" s="49"/>
      <c r="P111" s="49"/>
      <c r="Q111" s="50">
        <v>1</v>
      </c>
      <c r="R111" s="49" t="s">
        <v>46</v>
      </c>
      <c r="S111" s="49">
        <v>0</v>
      </c>
      <c r="T111" s="52" t="s">
        <v>74</v>
      </c>
      <c r="U111" s="4">
        <v>0</v>
      </c>
      <c r="V111" s="59" t="s">
        <v>56</v>
      </c>
      <c r="Y111" s="16"/>
      <c r="Z111" s="16"/>
      <c r="AA111" s="16"/>
      <c r="AB111"/>
      <c r="AC111"/>
      <c r="AD111"/>
      <c r="AE111"/>
    </row>
    <row r="112" spans="1:31" ht="12.75" hidden="1">
      <c r="A112" s="45" t="s">
        <v>142</v>
      </c>
      <c r="B112" s="45" t="s">
        <v>143</v>
      </c>
      <c r="C112" s="46">
        <f>(HearingAids[[#This Row],[haMSRP]]*2)+HearingAids[[#This Row],[chargerPrice]]</f>
        <v>11638</v>
      </c>
      <c r="D112" s="47">
        <v>5819</v>
      </c>
      <c r="E112" s="47" t="s">
        <v>10</v>
      </c>
      <c r="F112" s="47">
        <f>HearingAids[[#This Row],[haMSRP]]-((HearingAids[[#This Row],[ListPriceBinural]]-HearingAids[[#This Row],[chargerPrice]])/2)</f>
        <v>1094</v>
      </c>
      <c r="G112" s="47">
        <f>HearingAids[[#This Row],[haMSRP]]-HearingAids[[#This Row],[Discount Amount 1]]</f>
        <v>4725</v>
      </c>
      <c r="H112" s="53">
        <v>9450</v>
      </c>
      <c r="I112" s="65" t="s">
        <v>156</v>
      </c>
      <c r="J112" s="49">
        <f>(HearingAids[[#This Row],[haMSRP]]-HearingAids[[#This Row],[Discount Amount 1]])-(HearingAids[[#This Row],[haNetPriceBinural]]-HearingAids[[#This Row],[chargerPrice]])/2</f>
        <v>500</v>
      </c>
      <c r="K112" s="49">
        <f>HearingAids[[#This Row],[HAListPrice]]-HearingAids[[#This Row],[Discount Amount 2]]</f>
        <v>4225</v>
      </c>
      <c r="L112" s="53">
        <f>HearingAids[[#This Row],[ListPriceBinural]]-1000</f>
        <v>8450</v>
      </c>
      <c r="M112" s="49"/>
      <c r="N112" s="49"/>
      <c r="O112" s="49"/>
      <c r="P112" s="49"/>
      <c r="Q112" s="50">
        <v>1</v>
      </c>
      <c r="R112" s="49" t="s">
        <v>46</v>
      </c>
      <c r="S112" s="49">
        <v>0</v>
      </c>
      <c r="T112" s="52" t="s">
        <v>74</v>
      </c>
      <c r="U112" s="4">
        <v>0</v>
      </c>
      <c r="V112" s="59" t="s">
        <v>56</v>
      </c>
      <c r="Y112" s="16"/>
      <c r="Z112" s="16"/>
      <c r="AA112" s="16"/>
      <c r="AB112"/>
      <c r="AC112"/>
      <c r="AD112"/>
      <c r="AE112"/>
    </row>
    <row r="113" spans="1:31" ht="12.75" hidden="1">
      <c r="A113" s="45" t="s">
        <v>144</v>
      </c>
      <c r="B113" s="45" t="s">
        <v>145</v>
      </c>
      <c r="C113" s="46">
        <f>(HearingAids[[#This Row],[haMSRP]]*2)+HearingAids[[#This Row],[chargerPrice]]</f>
        <v>7378</v>
      </c>
      <c r="D113" s="47">
        <v>3689</v>
      </c>
      <c r="E113" s="47" t="s">
        <v>10</v>
      </c>
      <c r="F113" s="47">
        <f>HearingAids[[#This Row],[haMSRP]]-((HearingAids[[#This Row],[ListPriceBinural]]-HearingAids[[#This Row],[chargerPrice]])/2)</f>
        <v>164</v>
      </c>
      <c r="G113" s="47">
        <f>HearingAids[[#This Row],[haMSRP]]-HearingAids[[#This Row],[Discount Amount 1]]</f>
        <v>3525</v>
      </c>
      <c r="H113" s="53">
        <v>7050</v>
      </c>
      <c r="I113" s="65" t="s">
        <v>156</v>
      </c>
      <c r="J113" s="49">
        <f>(HearingAids[[#This Row],[haMSRP]]-HearingAids[[#This Row],[Discount Amount 1]])-(HearingAids[[#This Row],[haNetPriceBinural]]-HearingAids[[#This Row],[chargerPrice]])/2</f>
        <v>500</v>
      </c>
      <c r="K113" s="49">
        <f>HearingAids[[#This Row],[HAListPrice]]-HearingAids[[#This Row],[Discount Amount 2]]</f>
        <v>3025</v>
      </c>
      <c r="L113" s="53">
        <f>HearingAids[[#This Row],[ListPriceBinural]]-1000</f>
        <v>6050</v>
      </c>
      <c r="M113" s="49"/>
      <c r="N113" s="49"/>
      <c r="O113" s="49"/>
      <c r="P113" s="49"/>
      <c r="Q113" s="50">
        <v>1</v>
      </c>
      <c r="R113" s="49" t="s">
        <v>46</v>
      </c>
      <c r="S113" s="49">
        <v>0</v>
      </c>
      <c r="T113" s="52" t="s">
        <v>74</v>
      </c>
      <c r="U113" s="4">
        <v>0</v>
      </c>
      <c r="V113" s="59" t="s">
        <v>56</v>
      </c>
      <c r="Y113" s="16"/>
      <c r="Z113" s="16"/>
      <c r="AA113" s="16"/>
      <c r="AB113"/>
      <c r="AC113"/>
      <c r="AD113"/>
      <c r="AE113"/>
    </row>
    <row r="114" spans="1:31" ht="12.75" hidden="1">
      <c r="A114" s="45" t="s">
        <v>146</v>
      </c>
      <c r="B114" s="45" t="s">
        <v>147</v>
      </c>
      <c r="C114" s="46">
        <f>(HearingAids[[#This Row],[haMSRP]]*2)+HearingAids[[#This Row],[chargerPrice]]</f>
        <v>7378</v>
      </c>
      <c r="D114" s="47">
        <v>3689</v>
      </c>
      <c r="E114" s="47" t="s">
        <v>10</v>
      </c>
      <c r="F114" s="47">
        <f>HearingAids[[#This Row],[haMSRP]]-((HearingAids[[#This Row],[ListPriceBinural]]-HearingAids[[#This Row],[chargerPrice]])/2)</f>
        <v>164</v>
      </c>
      <c r="G114" s="47">
        <f>HearingAids[[#This Row],[haMSRP]]-HearingAids[[#This Row],[Discount Amount 1]]</f>
        <v>3525</v>
      </c>
      <c r="H114" s="53">
        <v>7050</v>
      </c>
      <c r="I114" s="65" t="s">
        <v>156</v>
      </c>
      <c r="J114" s="49">
        <f>(HearingAids[[#This Row],[haMSRP]]-HearingAids[[#This Row],[Discount Amount 1]])-(HearingAids[[#This Row],[haNetPriceBinural]]-HearingAids[[#This Row],[chargerPrice]])/2</f>
        <v>500</v>
      </c>
      <c r="K114" s="49">
        <f>HearingAids[[#This Row],[HAListPrice]]-HearingAids[[#This Row],[Discount Amount 2]]</f>
        <v>3025</v>
      </c>
      <c r="L114" s="53">
        <f>HearingAids[[#This Row],[ListPriceBinural]]-1000</f>
        <v>6050</v>
      </c>
      <c r="M114" s="49"/>
      <c r="N114" s="49"/>
      <c r="O114" s="49"/>
      <c r="P114" s="49"/>
      <c r="Q114" s="50">
        <v>1</v>
      </c>
      <c r="R114" s="49" t="s">
        <v>46</v>
      </c>
      <c r="S114" s="49">
        <v>0</v>
      </c>
      <c r="T114" s="52" t="s">
        <v>74</v>
      </c>
      <c r="U114" s="4">
        <v>0</v>
      </c>
      <c r="V114" s="59" t="s">
        <v>56</v>
      </c>
      <c r="Y114" s="16"/>
      <c r="Z114" s="16"/>
      <c r="AA114" s="16"/>
      <c r="AB114"/>
      <c r="AC114"/>
      <c r="AD114"/>
      <c r="AE114"/>
    </row>
    <row r="115" spans="1:31" ht="12.75" hidden="1">
      <c r="A115" s="45" t="s">
        <v>148</v>
      </c>
      <c r="B115" s="45" t="s">
        <v>149</v>
      </c>
      <c r="C115" s="46">
        <f>(HearingAids[[#This Row],[haMSRP]]*2)+HearingAids[[#This Row],[chargerPrice]]</f>
        <v>9358</v>
      </c>
      <c r="D115" s="47">
        <v>4679</v>
      </c>
      <c r="E115" s="47" t="s">
        <v>10</v>
      </c>
      <c r="F115" s="47">
        <f>HearingAids[[#This Row],[haMSRP]]-((HearingAids[[#This Row],[ListPriceBinural]]-HearingAids[[#This Row],[chargerPrice]])/2)</f>
        <v>504</v>
      </c>
      <c r="G115" s="47">
        <f>HearingAids[[#This Row],[haMSRP]]-HearingAids[[#This Row],[Discount Amount 1]]</f>
        <v>4175</v>
      </c>
      <c r="H115" s="53">
        <v>8350</v>
      </c>
      <c r="I115" s="65" t="s">
        <v>156</v>
      </c>
      <c r="J115" s="49">
        <f>(HearingAids[[#This Row],[haMSRP]]-HearingAids[[#This Row],[Discount Amount 1]])-(HearingAids[[#This Row],[haNetPriceBinural]]-HearingAids[[#This Row],[chargerPrice]])/2</f>
        <v>500</v>
      </c>
      <c r="K115" s="49">
        <f>HearingAids[[#This Row],[HAListPrice]]-HearingAids[[#This Row],[Discount Amount 2]]</f>
        <v>3675</v>
      </c>
      <c r="L115" s="53">
        <f>HearingAids[[#This Row],[ListPriceBinural]]-1000</f>
        <v>7350</v>
      </c>
      <c r="M115" s="49"/>
      <c r="N115" s="49"/>
      <c r="O115" s="49"/>
      <c r="P115" s="49"/>
      <c r="Q115" s="50">
        <v>1</v>
      </c>
      <c r="R115" s="49" t="s">
        <v>46</v>
      </c>
      <c r="S115" s="49">
        <v>0</v>
      </c>
      <c r="T115" s="52" t="s">
        <v>74</v>
      </c>
      <c r="U115" s="4">
        <v>0</v>
      </c>
      <c r="V115" s="59" t="s">
        <v>56</v>
      </c>
      <c r="Y115" s="16"/>
      <c r="Z115" s="16"/>
      <c r="AA115" s="16"/>
      <c r="AB115"/>
      <c r="AC115"/>
      <c r="AD115"/>
      <c r="AE115"/>
    </row>
    <row r="116" spans="1:31" ht="12.75" hidden="1">
      <c r="A116" s="45" t="s">
        <v>150</v>
      </c>
      <c r="B116" s="45" t="s">
        <v>151</v>
      </c>
      <c r="C116" s="46">
        <f>(HearingAids[[#This Row],[haMSRP]]*2)+HearingAids[[#This Row],[chargerPrice]]</f>
        <v>9358</v>
      </c>
      <c r="D116" s="47">
        <v>4679</v>
      </c>
      <c r="E116" s="47" t="s">
        <v>10</v>
      </c>
      <c r="F116" s="47">
        <f>HearingAids[[#This Row],[haMSRP]]-((HearingAids[[#This Row],[ListPriceBinural]]-HearingAids[[#This Row],[chargerPrice]])/2)</f>
        <v>504</v>
      </c>
      <c r="G116" s="47">
        <f>HearingAids[[#This Row],[haMSRP]]-HearingAids[[#This Row],[Discount Amount 1]]</f>
        <v>4175</v>
      </c>
      <c r="H116" s="53">
        <v>8350</v>
      </c>
      <c r="I116" s="65" t="s">
        <v>156</v>
      </c>
      <c r="J116" s="49">
        <f>(HearingAids[[#This Row],[haMSRP]]-HearingAids[[#This Row],[Discount Amount 1]])-(HearingAids[[#This Row],[haNetPriceBinural]]-HearingAids[[#This Row],[chargerPrice]])/2</f>
        <v>500</v>
      </c>
      <c r="K116" s="49">
        <f>HearingAids[[#This Row],[HAListPrice]]-HearingAids[[#This Row],[Discount Amount 2]]</f>
        <v>3675</v>
      </c>
      <c r="L116" s="53">
        <f>HearingAids[[#This Row],[ListPriceBinural]]-1000</f>
        <v>7350</v>
      </c>
      <c r="M116" s="49"/>
      <c r="N116" s="49"/>
      <c r="O116" s="49"/>
      <c r="P116" s="49"/>
      <c r="Q116" s="50">
        <v>1</v>
      </c>
      <c r="R116" s="49" t="s">
        <v>46</v>
      </c>
      <c r="S116" s="49">
        <v>0</v>
      </c>
      <c r="T116" s="52" t="s">
        <v>74</v>
      </c>
      <c r="U116" s="4">
        <v>0</v>
      </c>
      <c r="V116" s="59" t="s">
        <v>56</v>
      </c>
      <c r="Y116" s="16"/>
      <c r="Z116" s="16"/>
      <c r="AA116" s="16"/>
      <c r="AB116"/>
      <c r="AC116"/>
      <c r="AD116"/>
      <c r="AE116"/>
    </row>
    <row r="117" spans="1:31" ht="12.75" hidden="1">
      <c r="A117" s="45" t="s">
        <v>53</v>
      </c>
      <c r="B117" s="45" t="s">
        <v>54</v>
      </c>
      <c r="C117" s="46">
        <f>(HearingAids[[#This Row],[haMSRP]]*2)+HearingAids[[#This Row],[chargerPrice]]</f>
        <v>11963</v>
      </c>
      <c r="D117" s="47">
        <v>5819</v>
      </c>
      <c r="E117" s="47" t="s">
        <v>10</v>
      </c>
      <c r="F117" s="47">
        <f>HearingAids[[#This Row],[haMSRP]]-((HearingAids[[#This Row],[ListPriceBinural]]-HearingAids[[#This Row],[chargerPrice]])/2)</f>
        <v>1256.5</v>
      </c>
      <c r="G117" s="47">
        <f>HearingAids[[#This Row],[haMSRP]]-HearingAids[[#This Row],[Discount Amount 1]]</f>
        <v>4562.5</v>
      </c>
      <c r="H117" s="53">
        <v>9450</v>
      </c>
      <c r="I117" s="65" t="s">
        <v>156</v>
      </c>
      <c r="J117" s="49">
        <f>(HearingAids[[#This Row],[haMSRP]]-HearingAids[[#This Row],[Discount Amount 1]])-(HearingAids[[#This Row],[haNetPriceBinural]]-HearingAids[[#This Row],[chargerPrice]])/2</f>
        <v>500</v>
      </c>
      <c r="K117" s="49">
        <f>HearingAids[[#This Row],[HAListPrice]]-HearingAids[[#This Row],[Discount Amount 2]]</f>
        <v>4062.5</v>
      </c>
      <c r="L117" s="53">
        <f>HearingAids[[#This Row],[ListPriceBinural]]-1000</f>
        <v>8450</v>
      </c>
      <c r="M117" s="49"/>
      <c r="N117" s="49"/>
      <c r="O117" s="49"/>
      <c r="P117" s="49"/>
      <c r="Q117" s="50">
        <v>1</v>
      </c>
      <c r="R117" s="49" t="s">
        <v>52</v>
      </c>
      <c r="S117" s="49">
        <v>325</v>
      </c>
      <c r="T117" s="51" t="s">
        <v>55</v>
      </c>
      <c r="U117" s="52">
        <v>0</v>
      </c>
      <c r="V117" s="51" t="s">
        <v>56</v>
      </c>
      <c r="Y117" s="16"/>
      <c r="Z117" s="16"/>
      <c r="AA117" s="16"/>
      <c r="AB117"/>
      <c r="AC117"/>
      <c r="AD117"/>
      <c r="AE117"/>
    </row>
    <row r="118" spans="1:31" ht="12.75" hidden="1">
      <c r="A118" s="45" t="s">
        <v>57</v>
      </c>
      <c r="B118" s="45" t="s">
        <v>58</v>
      </c>
      <c r="C118" s="46">
        <f>(HearingAids[[#This Row],[haMSRP]]*2)+HearingAids[[#This Row],[chargerPrice]]</f>
        <v>7703</v>
      </c>
      <c r="D118" s="47">
        <v>3689</v>
      </c>
      <c r="E118" s="47" t="s">
        <v>10</v>
      </c>
      <c r="F118" s="47">
        <f>HearingAids[[#This Row],[haMSRP]]-((HearingAids[[#This Row],[ListPriceBinural]]-HearingAids[[#This Row],[chargerPrice]])/2)</f>
        <v>326.5</v>
      </c>
      <c r="G118" s="47">
        <f>HearingAids[[#This Row],[haMSRP]]-HearingAids[[#This Row],[Discount Amount 1]]</f>
        <v>3362.5</v>
      </c>
      <c r="H118" s="53">
        <v>7050</v>
      </c>
      <c r="I118" s="65" t="s">
        <v>156</v>
      </c>
      <c r="J118" s="49">
        <f>(HearingAids[[#This Row],[haMSRP]]-HearingAids[[#This Row],[Discount Amount 1]])-(HearingAids[[#This Row],[haNetPriceBinural]]-HearingAids[[#This Row],[chargerPrice]])/2</f>
        <v>500</v>
      </c>
      <c r="K118" s="49">
        <f>HearingAids[[#This Row],[HAListPrice]]-HearingAids[[#This Row],[Discount Amount 2]]</f>
        <v>2862.5</v>
      </c>
      <c r="L118" s="53">
        <f>HearingAids[[#This Row],[ListPriceBinural]]-1000</f>
        <v>6050</v>
      </c>
      <c r="M118" s="49"/>
      <c r="N118" s="49"/>
      <c r="O118" s="49"/>
      <c r="P118" s="49"/>
      <c r="Q118" s="50">
        <v>1</v>
      </c>
      <c r="R118" s="49" t="s">
        <v>52</v>
      </c>
      <c r="S118" s="49">
        <v>325</v>
      </c>
      <c r="T118" s="51" t="s">
        <v>55</v>
      </c>
      <c r="U118" s="52">
        <v>0</v>
      </c>
      <c r="V118" s="51" t="s">
        <v>56</v>
      </c>
      <c r="Y118" s="16"/>
      <c r="Z118" s="16"/>
      <c r="AA118" s="16"/>
      <c r="AB118"/>
      <c r="AC118"/>
      <c r="AD118"/>
      <c r="AE118"/>
    </row>
    <row r="119" spans="1:31" ht="12.75" hidden="1">
      <c r="A119" s="45" t="s">
        <v>59</v>
      </c>
      <c r="B119" s="45" t="s">
        <v>60</v>
      </c>
      <c r="C119" s="46">
        <f>(HearingAids[[#This Row],[haMSRP]]*2)+HearingAids[[#This Row],[chargerPrice]]</f>
        <v>9683</v>
      </c>
      <c r="D119" s="47">
        <v>4679</v>
      </c>
      <c r="E119" s="47" t="s">
        <v>10</v>
      </c>
      <c r="F119" s="47">
        <f>HearingAids[[#This Row],[haMSRP]]-((HearingAids[[#This Row],[ListPriceBinural]]-HearingAids[[#This Row],[chargerPrice]])/2)</f>
        <v>666.5</v>
      </c>
      <c r="G119" s="47">
        <f>HearingAids[[#This Row],[haMSRP]]-HearingAids[[#This Row],[Discount Amount 1]]</f>
        <v>4012.5</v>
      </c>
      <c r="H119" s="53">
        <v>8350</v>
      </c>
      <c r="I119" s="65" t="s">
        <v>156</v>
      </c>
      <c r="J119" s="49">
        <f>(HearingAids[[#This Row],[haMSRP]]-HearingAids[[#This Row],[Discount Amount 1]])-(HearingAids[[#This Row],[haNetPriceBinural]]-HearingAids[[#This Row],[chargerPrice]])/2</f>
        <v>500</v>
      </c>
      <c r="K119" s="49">
        <f>HearingAids[[#This Row],[HAListPrice]]-HearingAids[[#This Row],[Discount Amount 2]]</f>
        <v>3512.5</v>
      </c>
      <c r="L119" s="53">
        <f>HearingAids[[#This Row],[ListPriceBinural]]-1000</f>
        <v>7350</v>
      </c>
      <c r="M119" s="49"/>
      <c r="N119" s="49"/>
      <c r="O119" s="49"/>
      <c r="P119" s="49"/>
      <c r="Q119" s="50">
        <v>1</v>
      </c>
      <c r="R119" s="49" t="s">
        <v>52</v>
      </c>
      <c r="S119" s="49">
        <v>325</v>
      </c>
      <c r="T119" s="51" t="s">
        <v>55</v>
      </c>
      <c r="U119" s="52">
        <v>0</v>
      </c>
      <c r="V119" s="51" t="s">
        <v>56</v>
      </c>
      <c r="Y119" s="16"/>
      <c r="Z119" s="16"/>
      <c r="AA119" s="16"/>
      <c r="AB119"/>
      <c r="AC119"/>
      <c r="AD119"/>
      <c r="AE119"/>
    </row>
    <row r="120" spans="1:31" ht="12.75" hidden="1">
      <c r="A120" s="45" t="s">
        <v>123</v>
      </c>
      <c r="B120" s="45" t="s">
        <v>124</v>
      </c>
      <c r="C120" s="46">
        <f>(HearingAids[[#This Row],[haMSRP]]*2)+HearingAids[[#This Row],[chargerPrice]]</f>
        <v>11963</v>
      </c>
      <c r="D120" s="47">
        <v>5819</v>
      </c>
      <c r="E120" s="47" t="s">
        <v>10</v>
      </c>
      <c r="F120" s="47">
        <f>HearingAids[[#This Row],[haMSRP]]-((HearingAids[[#This Row],[ListPriceBinural]]-HearingAids[[#This Row],[chargerPrice]])/2)</f>
        <v>1256.5</v>
      </c>
      <c r="G120" s="47">
        <f>HearingAids[[#This Row],[haMSRP]]-HearingAids[[#This Row],[Discount Amount 1]]</f>
        <v>4562.5</v>
      </c>
      <c r="H120" s="53">
        <v>9450</v>
      </c>
      <c r="I120" s="65" t="s">
        <v>156</v>
      </c>
      <c r="J120" s="49">
        <f>(HearingAids[[#This Row],[haMSRP]]-HearingAids[[#This Row],[Discount Amount 1]])-(HearingAids[[#This Row],[haNetPriceBinural]]-HearingAids[[#This Row],[chargerPrice]])/2</f>
        <v>500</v>
      </c>
      <c r="K120" s="49">
        <f>HearingAids[[#This Row],[HAListPrice]]-HearingAids[[#This Row],[Discount Amount 2]]</f>
        <v>4062.5</v>
      </c>
      <c r="L120" s="53">
        <f>HearingAids[[#This Row],[ListPriceBinural]]-1000</f>
        <v>8450</v>
      </c>
      <c r="M120" s="49"/>
      <c r="N120" s="49"/>
      <c r="O120" s="49"/>
      <c r="P120" s="49"/>
      <c r="Q120" s="50">
        <v>1</v>
      </c>
      <c r="R120" s="49" t="s">
        <v>52</v>
      </c>
      <c r="S120" s="49">
        <v>325</v>
      </c>
      <c r="T120" s="6" t="s">
        <v>55</v>
      </c>
      <c r="U120" s="49">
        <v>0</v>
      </c>
      <c r="V120" s="59" t="s">
        <v>56</v>
      </c>
      <c r="Y120" s="16"/>
      <c r="Z120" s="16"/>
      <c r="AA120" s="16"/>
      <c r="AB120"/>
      <c r="AC120"/>
      <c r="AD120"/>
      <c r="AE120"/>
    </row>
    <row r="121" spans="1:31" ht="12.75" hidden="1">
      <c r="A121" s="45" t="s">
        <v>125</v>
      </c>
      <c r="B121" s="45" t="s">
        <v>126</v>
      </c>
      <c r="C121" s="46">
        <f>(HearingAids[[#This Row],[haMSRP]]*2)+HearingAids[[#This Row],[chargerPrice]]</f>
        <v>7703</v>
      </c>
      <c r="D121" s="47">
        <v>3689</v>
      </c>
      <c r="E121" s="47" t="s">
        <v>10</v>
      </c>
      <c r="F121" s="47">
        <f>HearingAids[[#This Row],[haMSRP]]-((HearingAids[[#This Row],[ListPriceBinural]]-HearingAids[[#This Row],[chargerPrice]])/2)</f>
        <v>326.5</v>
      </c>
      <c r="G121" s="47">
        <f>HearingAids[[#This Row],[haMSRP]]-HearingAids[[#This Row],[Discount Amount 1]]</f>
        <v>3362.5</v>
      </c>
      <c r="H121" s="53">
        <v>7050</v>
      </c>
      <c r="I121" s="65" t="s">
        <v>156</v>
      </c>
      <c r="J121" s="49">
        <f>(HearingAids[[#This Row],[haMSRP]]-HearingAids[[#This Row],[Discount Amount 1]])-(HearingAids[[#This Row],[haNetPriceBinural]]-HearingAids[[#This Row],[chargerPrice]])/2</f>
        <v>500</v>
      </c>
      <c r="K121" s="49">
        <f>HearingAids[[#This Row],[HAListPrice]]-HearingAids[[#This Row],[Discount Amount 2]]</f>
        <v>2862.5</v>
      </c>
      <c r="L121" s="53">
        <f>HearingAids[[#This Row],[ListPriceBinural]]-1000</f>
        <v>6050</v>
      </c>
      <c r="M121" s="49"/>
      <c r="N121" s="49"/>
      <c r="O121" s="49"/>
      <c r="P121" s="49"/>
      <c r="Q121" s="50">
        <v>1</v>
      </c>
      <c r="R121" s="49" t="s">
        <v>52</v>
      </c>
      <c r="S121" s="49">
        <v>325</v>
      </c>
      <c r="T121" s="6" t="s">
        <v>55</v>
      </c>
      <c r="U121" s="49">
        <v>0</v>
      </c>
      <c r="V121" s="59" t="s">
        <v>56</v>
      </c>
      <c r="Y121" s="16"/>
      <c r="Z121" s="16"/>
      <c r="AA121" s="16"/>
      <c r="AB121"/>
      <c r="AC121"/>
      <c r="AD121"/>
      <c r="AE121"/>
    </row>
    <row r="122" spans="1:31" ht="12.75" hidden="1">
      <c r="A122" s="45" t="s">
        <v>127</v>
      </c>
      <c r="B122" s="45" t="s">
        <v>128</v>
      </c>
      <c r="C122" s="46">
        <f>(HearingAids[[#This Row],[haMSRP]]*2)+HearingAids[[#This Row],[chargerPrice]]</f>
        <v>9683</v>
      </c>
      <c r="D122" s="47">
        <v>4679</v>
      </c>
      <c r="E122" s="47" t="s">
        <v>10</v>
      </c>
      <c r="F122" s="47">
        <f>HearingAids[[#This Row],[haMSRP]]-((HearingAids[[#This Row],[ListPriceBinural]]-HearingAids[[#This Row],[chargerPrice]])/2)</f>
        <v>666.5</v>
      </c>
      <c r="G122" s="47">
        <f>HearingAids[[#This Row],[haMSRP]]-HearingAids[[#This Row],[Discount Amount 1]]</f>
        <v>4012.5</v>
      </c>
      <c r="H122" s="53">
        <v>8350</v>
      </c>
      <c r="I122" s="65" t="s">
        <v>156</v>
      </c>
      <c r="J122" s="49">
        <f>(HearingAids[[#This Row],[haMSRP]]-HearingAids[[#This Row],[Discount Amount 1]])-(HearingAids[[#This Row],[haNetPriceBinural]]-HearingAids[[#This Row],[chargerPrice]])/2</f>
        <v>500</v>
      </c>
      <c r="K122" s="49">
        <f>HearingAids[[#This Row],[HAListPrice]]-HearingAids[[#This Row],[Discount Amount 2]]</f>
        <v>3512.5</v>
      </c>
      <c r="L122" s="53">
        <f>HearingAids[[#This Row],[ListPriceBinural]]-1000</f>
        <v>7350</v>
      </c>
      <c r="M122" s="49"/>
      <c r="N122" s="49"/>
      <c r="O122" s="49"/>
      <c r="P122" s="49"/>
      <c r="Q122" s="50">
        <v>1</v>
      </c>
      <c r="R122" s="49" t="s">
        <v>52</v>
      </c>
      <c r="S122" s="49">
        <v>325</v>
      </c>
      <c r="T122" s="6" t="s">
        <v>55</v>
      </c>
      <c r="U122" s="49">
        <v>0</v>
      </c>
      <c r="V122" s="59" t="s">
        <v>56</v>
      </c>
      <c r="W122" s="49"/>
      <c r="Y122" s="16"/>
      <c r="Z122" s="16"/>
      <c r="AA122" s="16"/>
      <c r="AB122"/>
      <c r="AC122"/>
      <c r="AD122"/>
      <c r="AE122"/>
    </row>
    <row r="123" spans="1:31" ht="12.75" hidden="1">
      <c r="A123" s="45" t="s">
        <v>130</v>
      </c>
      <c r="B123" s="45" t="s">
        <v>131</v>
      </c>
      <c r="C123" s="46">
        <f>(HearingAids[[#This Row],[haMSRP]]*2)+HearingAids[[#This Row],[chargerPrice]]</f>
        <v>11863</v>
      </c>
      <c r="D123" s="49">
        <v>5819</v>
      </c>
      <c r="E123" s="49" t="s">
        <v>10</v>
      </c>
      <c r="F123" s="47">
        <f>HearingAids[[#This Row],[haMSRP]]-((HearingAids[[#This Row],[ListPriceBinural]]-HearingAids[[#This Row],[chargerPrice]])/2)</f>
        <v>1206.5</v>
      </c>
      <c r="G123" s="47">
        <f>HearingAids[[#This Row],[haMSRP]]-HearingAids[[#This Row],[Discount Amount 1]]</f>
        <v>4612.5</v>
      </c>
      <c r="H123" s="53">
        <v>9450</v>
      </c>
      <c r="I123" s="90" t="s">
        <v>156</v>
      </c>
      <c r="J123" s="49">
        <f>(HearingAids[[#This Row],[haMSRP]]-HearingAids[[#This Row],[Discount Amount 1]])-(HearingAids[[#This Row],[haNetPriceBinural]]-HearingAids[[#This Row],[chargerPrice]])/2</f>
        <v>500</v>
      </c>
      <c r="K123" s="49">
        <f>HearingAids[[#This Row],[HAListPrice]]-HearingAids[[#This Row],[Discount Amount 2]]</f>
        <v>4112.5</v>
      </c>
      <c r="L123" s="53">
        <v>8450</v>
      </c>
      <c r="M123" s="49"/>
      <c r="N123" s="49"/>
      <c r="O123" s="49"/>
      <c r="P123" s="49"/>
      <c r="Q123" s="50">
        <v>1</v>
      </c>
      <c r="R123" s="85" t="s">
        <v>49</v>
      </c>
      <c r="S123" s="86">
        <v>225</v>
      </c>
      <c r="T123" s="52" t="s">
        <v>55</v>
      </c>
      <c r="U123" s="52">
        <v>0</v>
      </c>
      <c r="V123" s="52" t="s">
        <v>56</v>
      </c>
      <c r="W123" s="49"/>
      <c r="Y123" s="16"/>
      <c r="Z123" s="16"/>
      <c r="AA123" s="16"/>
      <c r="AB123"/>
      <c r="AC123"/>
      <c r="AD123"/>
      <c r="AE123"/>
    </row>
    <row r="124" spans="1:31" ht="12.75" hidden="1">
      <c r="A124" s="45" t="s">
        <v>132</v>
      </c>
      <c r="B124" s="45" t="s">
        <v>133</v>
      </c>
      <c r="C124" s="46">
        <f>(HearingAids[[#This Row],[haMSRP]]*2)+HearingAids[[#This Row],[chargerPrice]]</f>
        <v>7603</v>
      </c>
      <c r="D124" s="49">
        <v>3689</v>
      </c>
      <c r="E124" s="49" t="s">
        <v>10</v>
      </c>
      <c r="F124" s="47">
        <f>HearingAids[[#This Row],[haMSRP]]-((HearingAids[[#This Row],[ListPriceBinural]]-HearingAids[[#This Row],[chargerPrice]])/2)</f>
        <v>276.5</v>
      </c>
      <c r="G124" s="47">
        <f>HearingAids[[#This Row],[haMSRP]]-HearingAids[[#This Row],[Discount Amount 1]]</f>
        <v>3412.5</v>
      </c>
      <c r="H124" s="53">
        <v>7050</v>
      </c>
      <c r="I124" s="90" t="s">
        <v>156</v>
      </c>
      <c r="J124" s="49">
        <f>(HearingAids[[#This Row],[haMSRP]]-HearingAids[[#This Row],[Discount Amount 1]])-(HearingAids[[#This Row],[haNetPriceBinural]]-HearingAids[[#This Row],[chargerPrice]])/2</f>
        <v>500</v>
      </c>
      <c r="K124" s="49">
        <f>HearingAids[[#This Row],[HAListPrice]]-HearingAids[[#This Row],[Discount Amount 2]]</f>
        <v>2912.5</v>
      </c>
      <c r="L124" s="53">
        <v>6050</v>
      </c>
      <c r="M124" s="49"/>
      <c r="N124" s="49"/>
      <c r="O124" s="49"/>
      <c r="P124" s="49"/>
      <c r="Q124" s="50">
        <v>1</v>
      </c>
      <c r="R124" s="85" t="s">
        <v>49</v>
      </c>
      <c r="S124" s="86">
        <v>225</v>
      </c>
      <c r="T124" s="52" t="s">
        <v>55</v>
      </c>
      <c r="U124" s="52">
        <v>0</v>
      </c>
      <c r="V124" s="52" t="s">
        <v>56</v>
      </c>
      <c r="W124" s="49"/>
      <c r="Y124" s="16"/>
      <c r="Z124" s="16"/>
      <c r="AA124" s="16"/>
      <c r="AB124"/>
      <c r="AC124"/>
      <c r="AD124"/>
      <c r="AE124"/>
    </row>
    <row r="125" spans="1:31" ht="12.75" hidden="1">
      <c r="A125" s="45" t="s">
        <v>134</v>
      </c>
      <c r="B125" s="45" t="s">
        <v>135</v>
      </c>
      <c r="C125" s="46">
        <f>(HearingAids[[#This Row],[haMSRP]]*2)+HearingAids[[#This Row],[chargerPrice]]</f>
        <v>9583</v>
      </c>
      <c r="D125" s="49">
        <v>4679</v>
      </c>
      <c r="E125" s="49" t="s">
        <v>10</v>
      </c>
      <c r="F125" s="47">
        <f>HearingAids[[#This Row],[haMSRP]]-((HearingAids[[#This Row],[ListPriceBinural]]-HearingAids[[#This Row],[chargerPrice]])/2)</f>
        <v>616.5</v>
      </c>
      <c r="G125" s="47">
        <f>HearingAids[[#This Row],[haMSRP]]-HearingAids[[#This Row],[Discount Amount 1]]</f>
        <v>4062.5</v>
      </c>
      <c r="H125" s="53">
        <v>8350</v>
      </c>
      <c r="I125" s="90" t="s">
        <v>156</v>
      </c>
      <c r="J125" s="49">
        <f>(HearingAids[[#This Row],[haMSRP]]-HearingAids[[#This Row],[Discount Amount 1]])-(HearingAids[[#This Row],[haNetPriceBinural]]-HearingAids[[#This Row],[chargerPrice]])/2</f>
        <v>500</v>
      </c>
      <c r="K125" s="49">
        <f>HearingAids[[#This Row],[HAListPrice]]-HearingAids[[#This Row],[Discount Amount 2]]</f>
        <v>3562.5</v>
      </c>
      <c r="L125" s="53">
        <v>7350</v>
      </c>
      <c r="M125" s="49"/>
      <c r="N125" s="49"/>
      <c r="O125" s="49"/>
      <c r="P125" s="49"/>
      <c r="Q125" s="50">
        <v>1</v>
      </c>
      <c r="R125" s="85" t="s">
        <v>49</v>
      </c>
      <c r="S125" s="86">
        <v>225</v>
      </c>
      <c r="T125" s="52" t="s">
        <v>55</v>
      </c>
      <c r="U125" s="52">
        <v>0</v>
      </c>
      <c r="V125" s="52" t="s">
        <v>56</v>
      </c>
      <c r="W125" s="4"/>
      <c r="Y125" s="16"/>
      <c r="Z125" s="16"/>
      <c r="AA125" s="16"/>
      <c r="AB125"/>
      <c r="AC125"/>
      <c r="AD125"/>
      <c r="AE125"/>
    </row>
    <row r="126" spans="1:31" ht="12.75" hidden="1">
      <c r="A126" s="45" t="s">
        <v>47</v>
      </c>
      <c r="B126" s="45" t="s">
        <v>48</v>
      </c>
      <c r="C126" s="46">
        <f>(HearingAids[[#This Row],[haMSRP]]*2)+HearingAids[[#This Row],[chargerPrice]]</f>
        <v>4903</v>
      </c>
      <c r="D126" s="47">
        <v>2339</v>
      </c>
      <c r="E126" s="47" t="s">
        <v>10</v>
      </c>
      <c r="F126" s="47">
        <f>HearingAids[[#This Row],[haMSRP]]-((HearingAids[[#This Row],[ListPriceBinural]]-HearingAids[[#This Row],[chargerPrice]])/2)</f>
        <v>701.5</v>
      </c>
      <c r="G126" s="47">
        <f>HearingAids[[#This Row],[haMSRP]]-HearingAids[[#This Row],[Discount Amount 1]]</f>
        <v>1637.5</v>
      </c>
      <c r="H126" s="54">
        <v>3500</v>
      </c>
      <c r="I126" s="65" t="s">
        <v>157</v>
      </c>
      <c r="J126" s="49">
        <f>(HearingAids[[#This Row],[haMSRP]]-HearingAids[[#This Row],[Discount Amount 1]])-(HearingAids[[#This Row],[haNetPriceBinural]]-HearingAids[[#This Row],[chargerPrice]])/2</f>
        <v>55</v>
      </c>
      <c r="K126" s="49">
        <f>HearingAids[[#This Row],[HAListPrice]]-HearingAids[[#This Row],[Discount Amount 2]]</f>
        <v>1582.5</v>
      </c>
      <c r="L126" s="54">
        <v>3390</v>
      </c>
      <c r="M126" s="49"/>
      <c r="N126" s="49"/>
      <c r="O126" s="49"/>
      <c r="P126" s="86"/>
      <c r="Q126" s="87">
        <v>1</v>
      </c>
      <c r="R126" s="88" t="s">
        <v>49</v>
      </c>
      <c r="S126" s="86">
        <v>225</v>
      </c>
      <c r="T126" s="89" t="s">
        <v>63</v>
      </c>
      <c r="U126" s="16">
        <v>0</v>
      </c>
      <c r="V126" s="60" t="s">
        <v>56</v>
      </c>
      <c r="W126" s="4"/>
      <c r="Y126" s="16"/>
      <c r="Z126" s="16"/>
      <c r="AA126" s="16"/>
      <c r="AB126"/>
      <c r="AC126"/>
      <c r="AD126"/>
      <c r="AE126"/>
    </row>
    <row r="127" spans="1:31" ht="12.75" hidden="1">
      <c r="A127" s="45" t="s">
        <v>123</v>
      </c>
      <c r="B127" s="45" t="s">
        <v>124</v>
      </c>
      <c r="C127" s="46">
        <f>(HearingAids[[#This Row],[haMSRP]]*2)+HearingAids[[#This Row],[chargerPrice]]</f>
        <v>11963</v>
      </c>
      <c r="D127" s="47">
        <v>5819</v>
      </c>
      <c r="E127" s="47" t="s">
        <v>10</v>
      </c>
      <c r="F127" s="47">
        <f>HearingAids[[#This Row],[haMSRP]]-((HearingAids[[#This Row],[ListPriceBinural]]-HearingAids[[#This Row],[chargerPrice]])/2)</f>
        <v>1256.5</v>
      </c>
      <c r="G127" s="47">
        <f>HearingAids[[#This Row],[haMSRP]]-HearingAids[[#This Row],[Discount Amount 1]]</f>
        <v>4562.5</v>
      </c>
      <c r="H127" s="53">
        <v>9450</v>
      </c>
      <c r="I127" s="65" t="s">
        <v>157</v>
      </c>
      <c r="J127" s="49">
        <f>(HearingAids[[#This Row],[haMSRP]]-HearingAids[[#This Row],[Discount Amount 1]])-(HearingAids[[#This Row],[haNetPriceBinural]]-HearingAids[[#This Row],[chargerPrice]])/2</f>
        <v>1380</v>
      </c>
      <c r="K127" s="49">
        <f>HearingAids[[#This Row],[HAListPrice]]-HearingAids[[#This Row],[Discount Amount 2]]</f>
        <v>3182.5</v>
      </c>
      <c r="L127" s="53">
        <v>6690</v>
      </c>
      <c r="M127" s="49"/>
      <c r="N127" s="49"/>
      <c r="O127" s="49"/>
      <c r="P127" s="49"/>
      <c r="Q127" s="50">
        <v>1</v>
      </c>
      <c r="R127" s="49" t="s">
        <v>52</v>
      </c>
      <c r="S127" s="49">
        <v>325</v>
      </c>
      <c r="T127" s="6" t="s">
        <v>55</v>
      </c>
      <c r="U127" s="49">
        <v>0</v>
      </c>
      <c r="V127" s="59" t="s">
        <v>56</v>
      </c>
      <c r="W127" s="4"/>
      <c r="Y127" s="16"/>
      <c r="Z127" s="16"/>
      <c r="AA127" s="16"/>
      <c r="AB127"/>
      <c r="AC127"/>
      <c r="AD127"/>
      <c r="AE127"/>
    </row>
    <row r="128" spans="1:31" ht="12.75" hidden="1">
      <c r="A128" s="45" t="s">
        <v>125</v>
      </c>
      <c r="B128" s="45" t="s">
        <v>126</v>
      </c>
      <c r="C128" s="46">
        <f>(HearingAids[[#This Row],[haMSRP]]*2)+HearingAids[[#This Row],[chargerPrice]]</f>
        <v>7703</v>
      </c>
      <c r="D128" s="47">
        <v>3689</v>
      </c>
      <c r="E128" s="47" t="s">
        <v>10</v>
      </c>
      <c r="F128" s="47">
        <f>HearingAids[[#This Row],[haMSRP]]-((HearingAids[[#This Row],[ListPriceBinural]]-HearingAids[[#This Row],[chargerPrice]])/2)</f>
        <v>326.5</v>
      </c>
      <c r="G128" s="47">
        <f>HearingAids[[#This Row],[haMSRP]]-HearingAids[[#This Row],[Discount Amount 1]]</f>
        <v>3362.5</v>
      </c>
      <c r="H128" s="53">
        <v>7050</v>
      </c>
      <c r="I128" s="65" t="s">
        <v>157</v>
      </c>
      <c r="J128" s="49">
        <f>(HearingAids[[#This Row],[haMSRP]]-HearingAids[[#This Row],[Discount Amount 1]])-(HearingAids[[#This Row],[haNetPriceBinural]]-HearingAids[[#This Row],[chargerPrice]])/2</f>
        <v>1080</v>
      </c>
      <c r="K128" s="49">
        <f>HearingAids[[#This Row],[HAListPrice]]-HearingAids[[#This Row],[Discount Amount 2]]</f>
        <v>2282.5</v>
      </c>
      <c r="L128" s="53">
        <v>4890</v>
      </c>
      <c r="M128" s="49"/>
      <c r="N128" s="49"/>
      <c r="O128" s="49"/>
      <c r="P128" s="49"/>
      <c r="Q128" s="50">
        <v>1</v>
      </c>
      <c r="R128" s="49" t="s">
        <v>52</v>
      </c>
      <c r="S128" s="49">
        <v>325</v>
      </c>
      <c r="T128" s="6" t="s">
        <v>55</v>
      </c>
      <c r="U128" s="49">
        <v>0</v>
      </c>
      <c r="V128" s="59" t="s">
        <v>56</v>
      </c>
      <c r="W128" s="4"/>
      <c r="Y128" s="16"/>
      <c r="Z128" s="16"/>
      <c r="AA128" s="16"/>
      <c r="AB128"/>
      <c r="AC128"/>
      <c r="AD128"/>
      <c r="AE128"/>
    </row>
    <row r="129" spans="1:31" ht="12.75" hidden="1">
      <c r="A129" s="45" t="s">
        <v>127</v>
      </c>
      <c r="B129" s="45" t="s">
        <v>128</v>
      </c>
      <c r="C129" s="46">
        <f>(HearingAids[[#This Row],[haMSRP]]*2)+HearingAids[[#This Row],[chargerPrice]]</f>
        <v>9683</v>
      </c>
      <c r="D129" s="47">
        <v>4679</v>
      </c>
      <c r="E129" s="47" t="s">
        <v>10</v>
      </c>
      <c r="F129" s="47">
        <f>HearingAids[[#This Row],[haMSRP]]-((HearingAids[[#This Row],[ListPriceBinural]]-HearingAids[[#This Row],[chargerPrice]])/2)</f>
        <v>666.5</v>
      </c>
      <c r="G129" s="47">
        <f>HearingAids[[#This Row],[haMSRP]]-HearingAids[[#This Row],[Discount Amount 1]]</f>
        <v>4012.5</v>
      </c>
      <c r="H129" s="53">
        <v>8350</v>
      </c>
      <c r="I129" s="65" t="s">
        <v>157</v>
      </c>
      <c r="J129" s="49">
        <f>(HearingAids[[#This Row],[haMSRP]]-HearingAids[[#This Row],[Discount Amount 1]])-(HearingAids[[#This Row],[haNetPriceBinural]]-HearingAids[[#This Row],[chargerPrice]])/2</f>
        <v>1330</v>
      </c>
      <c r="K129" s="49">
        <f>HearingAids[[#This Row],[HAListPrice]]-HearingAids[[#This Row],[Discount Amount 2]]</f>
        <v>2682.5</v>
      </c>
      <c r="L129" s="53">
        <v>5690</v>
      </c>
      <c r="M129" s="49"/>
      <c r="N129" s="49"/>
      <c r="O129" s="49"/>
      <c r="P129" s="49"/>
      <c r="Q129" s="50">
        <v>1</v>
      </c>
      <c r="R129" s="49" t="s">
        <v>52</v>
      </c>
      <c r="S129" s="49">
        <v>325</v>
      </c>
      <c r="T129" s="6" t="s">
        <v>55</v>
      </c>
      <c r="U129" s="49">
        <v>0</v>
      </c>
      <c r="V129" s="59" t="s">
        <v>56</v>
      </c>
      <c r="W129" s="4"/>
      <c r="Y129" s="16"/>
      <c r="Z129" s="16"/>
      <c r="AA129" s="16"/>
      <c r="AB129"/>
      <c r="AC129"/>
      <c r="AD129"/>
      <c r="AE129"/>
    </row>
    <row r="130" spans="1:31" ht="12.75" hidden="1">
      <c r="A130" s="45" t="s">
        <v>47</v>
      </c>
      <c r="B130" s="45" t="s">
        <v>48</v>
      </c>
      <c r="C130" s="46">
        <f>(HearingAids[[#This Row],[haMSRP]]*2)+HearingAids[[#This Row],[chargerPrice]]</f>
        <v>4903</v>
      </c>
      <c r="D130" s="47">
        <v>2339</v>
      </c>
      <c r="E130" s="47" t="s">
        <v>10</v>
      </c>
      <c r="F130" s="47">
        <f>HearingAids[[#This Row],[haMSRP]]-((HearingAids[[#This Row],[ListPriceBinural]]-HearingAids[[#This Row],[chargerPrice]])/2)</f>
        <v>701.5</v>
      </c>
      <c r="G130" s="47">
        <f>HearingAids[[#This Row],[haMSRP]]-HearingAids[[#This Row],[Discount Amount 1]]</f>
        <v>1637.5</v>
      </c>
      <c r="H130" s="54">
        <v>3500</v>
      </c>
      <c r="I130" s="65" t="s">
        <v>158</v>
      </c>
      <c r="J130" s="49">
        <f>(HearingAids[[#This Row],[haMSRP]]-HearingAids[[#This Row],[Discount Amount 1]])-(HearingAids[[#This Row],[haNetPriceBinural]]-HearingAids[[#This Row],[chargerPrice]])/2</f>
        <v>55</v>
      </c>
      <c r="K130" s="49">
        <f>HearingAids[[#This Row],[HAListPrice]]-HearingAids[[#This Row],[Discount Amount 2]]</f>
        <v>1582.5</v>
      </c>
      <c r="L130" s="54">
        <v>3390</v>
      </c>
      <c r="M130" s="49"/>
      <c r="N130" s="49"/>
      <c r="O130" s="49"/>
      <c r="P130" s="86"/>
      <c r="Q130" s="87">
        <v>1</v>
      </c>
      <c r="R130" s="88" t="s">
        <v>49</v>
      </c>
      <c r="S130" s="86">
        <v>225</v>
      </c>
      <c r="T130" s="89" t="s">
        <v>63</v>
      </c>
      <c r="U130" s="16">
        <v>0</v>
      </c>
      <c r="V130" s="60" t="s">
        <v>56</v>
      </c>
      <c r="W130" s="4"/>
      <c r="Y130" s="16"/>
      <c r="Z130" s="16"/>
      <c r="AA130" s="16"/>
      <c r="AB130"/>
      <c r="AC130"/>
      <c r="AD130"/>
      <c r="AE130"/>
    </row>
    <row r="131" spans="1:31" ht="12.75" hidden="1">
      <c r="A131" s="45" t="s">
        <v>123</v>
      </c>
      <c r="B131" s="45" t="s">
        <v>124</v>
      </c>
      <c r="C131" s="46">
        <f>(HearingAids[[#This Row],[haMSRP]]*2)+HearingAids[[#This Row],[chargerPrice]]</f>
        <v>11963</v>
      </c>
      <c r="D131" s="47">
        <v>5819</v>
      </c>
      <c r="E131" s="47" t="s">
        <v>10</v>
      </c>
      <c r="F131" s="47">
        <f>HearingAids[[#This Row],[haMSRP]]-((HearingAids[[#This Row],[ListPriceBinural]]-HearingAids[[#This Row],[chargerPrice]])/2)</f>
        <v>1256.5</v>
      </c>
      <c r="G131" s="47">
        <f>HearingAids[[#This Row],[haMSRP]]-HearingAids[[#This Row],[Discount Amount 1]]</f>
        <v>4562.5</v>
      </c>
      <c r="H131" s="53">
        <v>9450</v>
      </c>
      <c r="I131" s="65" t="s">
        <v>158</v>
      </c>
      <c r="J131" s="49">
        <f>(HearingAids[[#This Row],[haMSRP]]-HearingAids[[#This Row],[Discount Amount 1]])-(HearingAids[[#This Row],[haNetPriceBinural]]-HearingAids[[#This Row],[chargerPrice]])/2</f>
        <v>1380</v>
      </c>
      <c r="K131" s="49">
        <f>HearingAids[[#This Row],[HAListPrice]]-HearingAids[[#This Row],[Discount Amount 2]]</f>
        <v>3182.5</v>
      </c>
      <c r="L131" s="53">
        <v>6690</v>
      </c>
      <c r="M131" s="49"/>
      <c r="N131" s="49"/>
      <c r="O131" s="49"/>
      <c r="P131" s="49"/>
      <c r="Q131" s="50">
        <v>1</v>
      </c>
      <c r="R131" s="49" t="s">
        <v>52</v>
      </c>
      <c r="S131" s="49">
        <v>325</v>
      </c>
      <c r="T131" s="6" t="s">
        <v>55</v>
      </c>
      <c r="U131" s="49">
        <v>0</v>
      </c>
      <c r="V131" s="59" t="s">
        <v>56</v>
      </c>
      <c r="W131" s="4"/>
      <c r="Y131" s="16"/>
      <c r="Z131" s="16"/>
      <c r="AA131" s="16"/>
      <c r="AB131"/>
      <c r="AC131"/>
      <c r="AD131"/>
      <c r="AE131"/>
    </row>
    <row r="132" spans="1:31" ht="12.75" hidden="1">
      <c r="A132" s="45" t="s">
        <v>125</v>
      </c>
      <c r="B132" s="45" t="s">
        <v>126</v>
      </c>
      <c r="C132" s="46">
        <f>(HearingAids[[#This Row],[haMSRP]]*2)+HearingAids[[#This Row],[chargerPrice]]</f>
        <v>7703</v>
      </c>
      <c r="D132" s="47">
        <v>3689</v>
      </c>
      <c r="E132" s="47" t="s">
        <v>10</v>
      </c>
      <c r="F132" s="47">
        <f>HearingAids[[#This Row],[haMSRP]]-((HearingAids[[#This Row],[ListPriceBinural]]-HearingAids[[#This Row],[chargerPrice]])/2)</f>
        <v>326.5</v>
      </c>
      <c r="G132" s="47">
        <f>HearingAids[[#This Row],[haMSRP]]-HearingAids[[#This Row],[Discount Amount 1]]</f>
        <v>3362.5</v>
      </c>
      <c r="H132" s="53">
        <v>7050</v>
      </c>
      <c r="I132" s="65" t="s">
        <v>158</v>
      </c>
      <c r="J132" s="49">
        <f>(HearingAids[[#This Row],[haMSRP]]-HearingAids[[#This Row],[Discount Amount 1]])-(HearingAids[[#This Row],[haNetPriceBinural]]-HearingAids[[#This Row],[chargerPrice]])/2</f>
        <v>1080</v>
      </c>
      <c r="K132" s="49">
        <f>HearingAids[[#This Row],[HAListPrice]]-HearingAids[[#This Row],[Discount Amount 2]]</f>
        <v>2282.5</v>
      </c>
      <c r="L132" s="53">
        <v>4890</v>
      </c>
      <c r="M132" s="49"/>
      <c r="N132" s="49"/>
      <c r="O132" s="49"/>
      <c r="P132" s="49"/>
      <c r="Q132" s="50">
        <v>1</v>
      </c>
      <c r="R132" s="49" t="s">
        <v>52</v>
      </c>
      <c r="S132" s="49">
        <v>325</v>
      </c>
      <c r="T132" s="6" t="s">
        <v>55</v>
      </c>
      <c r="U132" s="49">
        <v>0</v>
      </c>
      <c r="V132" s="59" t="s">
        <v>56</v>
      </c>
      <c r="W132" s="4"/>
      <c r="Y132" s="16"/>
      <c r="Z132" s="16"/>
      <c r="AA132" s="16"/>
      <c r="AB132"/>
      <c r="AC132"/>
      <c r="AD132"/>
      <c r="AE132"/>
    </row>
    <row r="133" spans="1:31" ht="12.75" hidden="1">
      <c r="A133" s="45" t="s">
        <v>127</v>
      </c>
      <c r="B133" s="45" t="s">
        <v>128</v>
      </c>
      <c r="C133" s="46">
        <f>(HearingAids[[#This Row],[haMSRP]]*2)+HearingAids[[#This Row],[chargerPrice]]</f>
        <v>9683</v>
      </c>
      <c r="D133" s="47">
        <v>4679</v>
      </c>
      <c r="E133" s="47" t="s">
        <v>10</v>
      </c>
      <c r="F133" s="47">
        <f>HearingAids[[#This Row],[haMSRP]]-((HearingAids[[#This Row],[ListPriceBinural]]-HearingAids[[#This Row],[chargerPrice]])/2)</f>
        <v>666.5</v>
      </c>
      <c r="G133" s="47">
        <f>HearingAids[[#This Row],[haMSRP]]-HearingAids[[#This Row],[Discount Amount 1]]</f>
        <v>4012.5</v>
      </c>
      <c r="H133" s="53">
        <v>8350</v>
      </c>
      <c r="I133" s="65" t="s">
        <v>158</v>
      </c>
      <c r="J133" s="49">
        <f>(HearingAids[[#This Row],[haMSRP]]-HearingAids[[#This Row],[Discount Amount 1]])-(HearingAids[[#This Row],[haNetPriceBinural]]-HearingAids[[#This Row],[chargerPrice]])/2</f>
        <v>1330</v>
      </c>
      <c r="K133" s="49">
        <f>HearingAids[[#This Row],[HAListPrice]]-HearingAids[[#This Row],[Discount Amount 2]]</f>
        <v>2682.5</v>
      </c>
      <c r="L133" s="53">
        <v>5690</v>
      </c>
      <c r="M133" s="49"/>
      <c r="N133" s="49"/>
      <c r="O133" s="49"/>
      <c r="P133" s="49"/>
      <c r="Q133" s="50">
        <v>1</v>
      </c>
      <c r="R133" s="49" t="s">
        <v>52</v>
      </c>
      <c r="S133" s="49">
        <v>325</v>
      </c>
      <c r="T133" s="6" t="s">
        <v>55</v>
      </c>
      <c r="U133" s="49">
        <v>0</v>
      </c>
      <c r="V133" s="59" t="s">
        <v>56</v>
      </c>
      <c r="W133" s="4"/>
      <c r="Y133" s="16"/>
      <c r="Z133" s="16"/>
      <c r="AA133" s="16"/>
      <c r="AB133"/>
      <c r="AC133"/>
      <c r="AD133"/>
      <c r="AE133"/>
    </row>
    <row r="134" spans="1:31" ht="12.75">
      <c r="A134" s="45" t="s">
        <v>53</v>
      </c>
      <c r="B134" s="45" t="s">
        <v>54</v>
      </c>
      <c r="C134" s="46">
        <f>(HearingAids[[#This Row],[haMSRP]]*2)+HearingAids[[#This Row],[chargerPrice]]</f>
        <v>11963</v>
      </c>
      <c r="D134" s="47">
        <v>5819</v>
      </c>
      <c r="E134" s="47" t="s">
        <v>10</v>
      </c>
      <c r="F134" s="47">
        <f>HearingAids[[#This Row],[haMSRP]]-((HearingAids[[#This Row],[ListPriceBinural]]-HearingAids[[#This Row],[chargerPrice]])/2)</f>
        <v>1256.5</v>
      </c>
      <c r="G134" s="47">
        <f>HearingAids[[#This Row],[haMSRP]]-HearingAids[[#This Row],[Discount Amount 1]]</f>
        <v>4562.5</v>
      </c>
      <c r="H134" s="53">
        <v>9450</v>
      </c>
      <c r="I134" s="65" t="s">
        <v>159</v>
      </c>
      <c r="J134" s="49">
        <f>((HearingAids[[#This Row],[haMSRP]]-HearingAids[[#This Row],[Discount Amount 1]])-(HearingAids[[#This Row],[haNetPriceBinural]]-HearingAids[[#This Row],[chargerPrice]])/2)</f>
        <v>925</v>
      </c>
      <c r="K134" s="49">
        <f>HearingAids[[#This Row],[HAListPrice]]-HearingAids[[#This Row],[Discount Amount 2]]</f>
        <v>3637.5</v>
      </c>
      <c r="L134" s="53">
        <v>7600</v>
      </c>
      <c r="M134" s="65"/>
      <c r="N134" s="49"/>
      <c r="O134" s="91"/>
      <c r="P134" s="47"/>
      <c r="Q134" s="92">
        <v>1</v>
      </c>
      <c r="R134" s="47" t="s">
        <v>52</v>
      </c>
      <c r="S134" s="49">
        <v>325</v>
      </c>
      <c r="T134" s="89" t="s">
        <v>55</v>
      </c>
      <c r="U134" s="16">
        <v>0</v>
      </c>
      <c r="V134" s="60" t="s">
        <v>56</v>
      </c>
      <c r="W134" s="4"/>
      <c r="Y134" s="16"/>
      <c r="Z134" s="16"/>
      <c r="AA134" s="16"/>
      <c r="AB134"/>
      <c r="AC134"/>
      <c r="AD134"/>
      <c r="AE134"/>
    </row>
    <row r="135" spans="1:31" ht="12.75">
      <c r="A135" s="45" t="s">
        <v>57</v>
      </c>
      <c r="B135" s="45" t="s">
        <v>58</v>
      </c>
      <c r="C135" s="46">
        <f>(HearingAids[[#This Row],[haMSRP]]*2)+HearingAids[[#This Row],[chargerPrice]]</f>
        <v>7703</v>
      </c>
      <c r="D135" s="47">
        <v>3689</v>
      </c>
      <c r="E135" s="47" t="s">
        <v>10</v>
      </c>
      <c r="F135" s="47">
        <f>HearingAids[[#This Row],[haMSRP]]-((HearingAids[[#This Row],[ListPriceBinural]]-HearingAids[[#This Row],[chargerPrice]])/2)</f>
        <v>326.5</v>
      </c>
      <c r="G135" s="47">
        <f>HearingAids[[#This Row],[haMSRP]]-HearingAids[[#This Row],[Discount Amount 1]]</f>
        <v>3362.5</v>
      </c>
      <c r="H135" s="53">
        <v>7050</v>
      </c>
      <c r="I135" s="65" t="s">
        <v>159</v>
      </c>
      <c r="J135" s="49">
        <f>((HearingAids[[#This Row],[haMSRP]]-HearingAids[[#This Row],[Discount Amount 1]])-(HearingAids[[#This Row],[haNetPriceBinural]]-HearingAids[[#This Row],[chargerPrice]])/2)</f>
        <v>625</v>
      </c>
      <c r="K135" s="49">
        <f>HearingAids[[#This Row],[HAListPrice]]-HearingAids[[#This Row],[Discount Amount 2]]</f>
        <v>2737.5</v>
      </c>
      <c r="L135" s="53">
        <v>5800</v>
      </c>
      <c r="M135" s="65"/>
      <c r="N135" s="49"/>
      <c r="O135" s="91"/>
      <c r="P135" s="47"/>
      <c r="Q135" s="92">
        <v>1</v>
      </c>
      <c r="R135" s="47" t="s">
        <v>52</v>
      </c>
      <c r="S135" s="49">
        <v>325</v>
      </c>
      <c r="T135" s="89" t="s">
        <v>55</v>
      </c>
      <c r="U135" s="16">
        <v>0</v>
      </c>
      <c r="V135" s="60" t="s">
        <v>56</v>
      </c>
      <c r="W135" s="4"/>
      <c r="Y135" s="16"/>
      <c r="Z135" s="16"/>
      <c r="AA135" s="16"/>
      <c r="AB135"/>
      <c r="AC135"/>
      <c r="AD135"/>
      <c r="AE135"/>
    </row>
    <row r="136" spans="1:31" ht="12.75">
      <c r="A136" s="45" t="s">
        <v>59</v>
      </c>
      <c r="B136" s="45" t="s">
        <v>60</v>
      </c>
      <c r="C136" s="46">
        <f>(HearingAids[[#This Row],[haMSRP]]*2)+HearingAids[[#This Row],[chargerPrice]]</f>
        <v>9683</v>
      </c>
      <c r="D136" s="47">
        <v>4679</v>
      </c>
      <c r="E136" s="47" t="s">
        <v>10</v>
      </c>
      <c r="F136" s="47">
        <f>HearingAids[[#This Row],[haMSRP]]-((HearingAids[[#This Row],[ListPriceBinural]]-HearingAids[[#This Row],[chargerPrice]])/2)</f>
        <v>666.5</v>
      </c>
      <c r="G136" s="47">
        <f>HearingAids[[#This Row],[haMSRP]]-HearingAids[[#This Row],[Discount Amount 1]]</f>
        <v>4012.5</v>
      </c>
      <c r="H136" s="53">
        <v>8350</v>
      </c>
      <c r="I136" s="65" t="s">
        <v>159</v>
      </c>
      <c r="J136" s="49">
        <f>((HearingAids[[#This Row],[haMSRP]]-HearingAids[[#This Row],[Discount Amount 1]])-(HearingAids[[#This Row],[haNetPriceBinural]]-HearingAids[[#This Row],[chargerPrice]])/2)</f>
        <v>875</v>
      </c>
      <c r="K136" s="49">
        <f>HearingAids[[#This Row],[HAListPrice]]-HearingAids[[#This Row],[Discount Amount 2]]</f>
        <v>3137.5</v>
      </c>
      <c r="L136" s="53">
        <v>6600</v>
      </c>
      <c r="M136" s="65"/>
      <c r="N136" s="49"/>
      <c r="O136" s="91"/>
      <c r="P136" s="47"/>
      <c r="Q136" s="92">
        <v>1</v>
      </c>
      <c r="R136" s="47" t="s">
        <v>52</v>
      </c>
      <c r="S136" s="49">
        <v>325</v>
      </c>
      <c r="T136" s="89" t="s">
        <v>55</v>
      </c>
      <c r="U136" s="16">
        <v>0</v>
      </c>
      <c r="V136" s="60" t="s">
        <v>56</v>
      </c>
      <c r="W136" s="4"/>
      <c r="Y136" s="16"/>
      <c r="Z136" s="16"/>
      <c r="AA136" s="16"/>
      <c r="AB136"/>
      <c r="AC136"/>
      <c r="AD136"/>
      <c r="AE136"/>
    </row>
    <row r="137" spans="1:31" ht="12.75">
      <c r="A137" s="45" t="s">
        <v>130</v>
      </c>
      <c r="B137" s="45" t="s">
        <v>131</v>
      </c>
      <c r="C137" s="46">
        <f>(HearingAids[[#This Row],[haMSRP]]*2)+HearingAids[[#This Row],[chargerPrice]]</f>
        <v>11863</v>
      </c>
      <c r="D137" s="49">
        <v>5819</v>
      </c>
      <c r="E137" s="49" t="s">
        <v>10</v>
      </c>
      <c r="F137" s="47">
        <f>HearingAids[[#This Row],[haMSRP]]-((HearingAids[[#This Row],[ListPriceBinural]]-HearingAids[[#This Row],[chargerPrice]])/2)</f>
        <v>1206.5</v>
      </c>
      <c r="G137" s="47">
        <f>HearingAids[[#This Row],[haMSRP]]-HearingAids[[#This Row],[Discount Amount 1]]</f>
        <v>4612.5</v>
      </c>
      <c r="H137" s="53">
        <v>9450</v>
      </c>
      <c r="I137" s="90" t="s">
        <v>159</v>
      </c>
      <c r="J137" s="49">
        <f>((HearingAids[[#This Row],[haMSRP]]-HearingAids[[#This Row],[Discount Amount 1]])-(HearingAids[[#This Row],[haNetPriceBinural]]-HearingAids[[#This Row],[chargerPrice]])/2)</f>
        <v>925</v>
      </c>
      <c r="K137" s="49">
        <f>HearingAids[[#This Row],[HAListPrice]]-HearingAids[[#This Row],[Discount Amount 2]]</f>
        <v>3687.5</v>
      </c>
      <c r="L137" s="53">
        <v>7600</v>
      </c>
      <c r="M137" s="93"/>
      <c r="N137" s="49"/>
      <c r="O137" s="90"/>
      <c r="P137" s="49"/>
      <c r="Q137" s="50">
        <v>1</v>
      </c>
      <c r="R137" s="85" t="s">
        <v>49</v>
      </c>
      <c r="S137" s="86">
        <v>225</v>
      </c>
      <c r="T137" s="52" t="s">
        <v>55</v>
      </c>
      <c r="U137" s="52">
        <v>0</v>
      </c>
      <c r="V137" s="52" t="s">
        <v>56</v>
      </c>
      <c r="W137" s="4"/>
      <c r="Y137" s="16"/>
      <c r="Z137" s="16"/>
      <c r="AA137" s="16"/>
      <c r="AB137"/>
      <c r="AC137"/>
      <c r="AD137"/>
      <c r="AE137"/>
    </row>
    <row r="138" spans="1:31" ht="12.75">
      <c r="A138" s="45" t="s">
        <v>132</v>
      </c>
      <c r="B138" s="45" t="s">
        <v>133</v>
      </c>
      <c r="C138" s="46">
        <f>(HearingAids[[#This Row],[haMSRP]]*2)+HearingAids[[#This Row],[chargerPrice]]</f>
        <v>7603</v>
      </c>
      <c r="D138" s="49">
        <v>3689</v>
      </c>
      <c r="E138" s="49" t="s">
        <v>10</v>
      </c>
      <c r="F138" s="47">
        <f>HearingAids[[#This Row],[haMSRP]]-((HearingAids[[#This Row],[ListPriceBinural]]-HearingAids[[#This Row],[chargerPrice]])/2)</f>
        <v>276.5</v>
      </c>
      <c r="G138" s="47">
        <f>HearingAids[[#This Row],[haMSRP]]-HearingAids[[#This Row],[Discount Amount 1]]</f>
        <v>3412.5</v>
      </c>
      <c r="H138" s="53">
        <v>7050</v>
      </c>
      <c r="I138" s="90" t="s">
        <v>159</v>
      </c>
      <c r="J138" s="49">
        <f>((HearingAids[[#This Row],[haMSRP]]-HearingAids[[#This Row],[Discount Amount 1]])-(HearingAids[[#This Row],[haNetPriceBinural]]-HearingAids[[#This Row],[chargerPrice]])/2)</f>
        <v>625</v>
      </c>
      <c r="K138" s="49">
        <f>HearingAids[[#This Row],[HAListPrice]]-HearingAids[[#This Row],[Discount Amount 2]]</f>
        <v>2787.5</v>
      </c>
      <c r="L138" s="53">
        <v>5800</v>
      </c>
      <c r="M138" s="93"/>
      <c r="N138" s="49"/>
      <c r="O138" s="90"/>
      <c r="P138" s="49"/>
      <c r="Q138" s="50">
        <v>1</v>
      </c>
      <c r="R138" s="85" t="s">
        <v>49</v>
      </c>
      <c r="S138" s="86">
        <v>225</v>
      </c>
      <c r="T138" s="52" t="s">
        <v>55</v>
      </c>
      <c r="U138" s="52">
        <v>0</v>
      </c>
      <c r="V138" s="52" t="s">
        <v>56</v>
      </c>
      <c r="W138" s="4"/>
      <c r="Y138" s="16"/>
      <c r="Z138" s="16"/>
      <c r="AA138" s="16"/>
      <c r="AB138"/>
      <c r="AC138"/>
      <c r="AD138"/>
      <c r="AE138"/>
    </row>
    <row r="139" spans="1:31" ht="12.75">
      <c r="A139" s="94" t="s">
        <v>134</v>
      </c>
      <c r="B139" s="45" t="s">
        <v>135</v>
      </c>
      <c r="C139" s="46">
        <f>(HearingAids[[#This Row],[haMSRP]]*2)+HearingAids[[#This Row],[chargerPrice]]</f>
        <v>9583</v>
      </c>
      <c r="D139" s="95">
        <v>4679</v>
      </c>
      <c r="E139" s="95" t="s">
        <v>10</v>
      </c>
      <c r="F139" s="47">
        <f>HearingAids[[#This Row],[haMSRP]]-((HearingAids[[#This Row],[ListPriceBinural]]-HearingAids[[#This Row],[chargerPrice]])/2)</f>
        <v>616.5</v>
      </c>
      <c r="G139" s="47">
        <f>HearingAids[[#This Row],[haMSRP]]-HearingAids[[#This Row],[Discount Amount 1]]</f>
        <v>4062.5</v>
      </c>
      <c r="H139" s="53">
        <v>8350</v>
      </c>
      <c r="I139" s="93" t="s">
        <v>159</v>
      </c>
      <c r="J139" s="49">
        <f>((HearingAids[[#This Row],[haMSRP]]-HearingAids[[#This Row],[Discount Amount 1]])-(HearingAids[[#This Row],[haNetPriceBinural]]-HearingAids[[#This Row],[chargerPrice]])/2)</f>
        <v>875</v>
      </c>
      <c r="K139" s="49">
        <f>HearingAids[[#This Row],[HAListPrice]]-HearingAids[[#This Row],[Discount Amount 2]]</f>
        <v>3187.5</v>
      </c>
      <c r="L139" s="53">
        <v>6600</v>
      </c>
      <c r="M139" s="93"/>
      <c r="N139" s="49"/>
      <c r="O139" s="93"/>
      <c r="P139" s="95"/>
      <c r="Q139" s="96">
        <v>1</v>
      </c>
      <c r="R139" s="97" t="s">
        <v>49</v>
      </c>
      <c r="S139" s="86">
        <v>225</v>
      </c>
      <c r="T139" s="98" t="s">
        <v>55</v>
      </c>
      <c r="U139" s="98">
        <v>0</v>
      </c>
      <c r="V139" s="99" t="s">
        <v>56</v>
      </c>
      <c r="X139" s="49"/>
      <c r="Y139" s="49"/>
      <c r="Z139" s="49"/>
      <c r="AA139" s="49"/>
      <c r="AB139" s="49"/>
      <c r="AC139" s="49"/>
      <c r="AD139" s="49"/>
    </row>
    <row r="140" spans="1:31" ht="12.75" hidden="1">
      <c r="A140" s="94" t="s">
        <v>47</v>
      </c>
      <c r="B140" s="45" t="s">
        <v>48</v>
      </c>
      <c r="C140" s="46">
        <f>(HearingAids[[#This Row],[haMSRP]]*2)+HearingAids[[#This Row],[chargerPrice]]</f>
        <v>4903</v>
      </c>
      <c r="D140" s="95">
        <v>2339</v>
      </c>
      <c r="E140" s="95" t="s">
        <v>10</v>
      </c>
      <c r="F140" s="47">
        <f>HearingAids[[#This Row],[haMSRP]]-((HearingAids[[#This Row],[ListPriceBinural]]-HearingAids[[#This Row],[chargerPrice]])/2)</f>
        <v>701.5</v>
      </c>
      <c r="G140" s="47">
        <f>HearingAids[[#This Row],[haMSRP]]-HearingAids[[#This Row],[Discount Amount 1]]</f>
        <v>1637.5</v>
      </c>
      <c r="H140" s="54">
        <v>3500</v>
      </c>
      <c r="I140" s="100" t="s">
        <v>160</v>
      </c>
      <c r="J140" s="49">
        <f>(HearingAids[[#This Row],[haMSRP]]-HearingAids[[#This Row],[Discount Amount 1]])-(HearingAids[[#This Row],[haNetPriceBinural]]-HearingAids[[#This Row],[chargerPrice]])/2</f>
        <v>55</v>
      </c>
      <c r="K140" s="49">
        <f>HearingAids[[#This Row],[HAListPrice]]-HearingAids[[#This Row],[Discount Amount 2]]</f>
        <v>1582.5</v>
      </c>
      <c r="L140" s="54">
        <v>3390</v>
      </c>
      <c r="M140" s="95"/>
      <c r="N140" s="49"/>
      <c r="O140" s="95"/>
      <c r="P140" s="101"/>
      <c r="Q140" s="96">
        <v>1</v>
      </c>
      <c r="R140" s="97" t="s">
        <v>49</v>
      </c>
      <c r="S140" s="86">
        <v>225</v>
      </c>
      <c r="T140" s="98" t="s">
        <v>63</v>
      </c>
      <c r="U140" s="44">
        <v>0</v>
      </c>
      <c r="V140" s="61" t="s">
        <v>56</v>
      </c>
      <c r="X140" s="49"/>
      <c r="Y140" s="49"/>
      <c r="Z140" s="49"/>
      <c r="AA140" s="49"/>
      <c r="AB140" s="49"/>
      <c r="AC140" s="49"/>
      <c r="AD140" s="49"/>
    </row>
    <row r="141" spans="1:31" ht="12.75" hidden="1">
      <c r="A141" s="94" t="s">
        <v>123</v>
      </c>
      <c r="B141" s="45" t="s">
        <v>124</v>
      </c>
      <c r="C141" s="46">
        <f>(HearingAids[[#This Row],[haMSRP]]*2)+HearingAids[[#This Row],[chargerPrice]]</f>
        <v>11963</v>
      </c>
      <c r="D141" s="95">
        <v>5819</v>
      </c>
      <c r="E141" s="95" t="s">
        <v>10</v>
      </c>
      <c r="F141" s="47">
        <f>HearingAids[[#This Row],[haMSRP]]-((HearingAids[[#This Row],[ListPriceBinural]]-HearingAids[[#This Row],[chargerPrice]])/2)</f>
        <v>1256.5</v>
      </c>
      <c r="G141" s="47">
        <f>HearingAids[[#This Row],[haMSRP]]-HearingAids[[#This Row],[Discount Amount 1]]</f>
        <v>4562.5</v>
      </c>
      <c r="H141" s="53">
        <v>9450</v>
      </c>
      <c r="I141" s="100" t="s">
        <v>160</v>
      </c>
      <c r="J141" s="49">
        <f>(HearingAids[[#This Row],[haMSRP]]-HearingAids[[#This Row],[Discount Amount 1]])-(HearingAids[[#This Row],[haNetPriceBinural]]-HearingAids[[#This Row],[chargerPrice]])/2</f>
        <v>1380</v>
      </c>
      <c r="K141" s="49">
        <f>HearingAids[[#This Row],[HAListPrice]]-HearingAids[[#This Row],[Discount Amount 2]]</f>
        <v>3182.5</v>
      </c>
      <c r="L141" s="53">
        <v>6690</v>
      </c>
      <c r="M141" s="95"/>
      <c r="N141" s="49"/>
      <c r="O141" s="95"/>
      <c r="P141" s="95"/>
      <c r="Q141" s="96">
        <v>1</v>
      </c>
      <c r="R141" s="95" t="s">
        <v>52</v>
      </c>
      <c r="S141" s="49">
        <v>325</v>
      </c>
      <c r="T141" s="43" t="s">
        <v>55</v>
      </c>
      <c r="U141" s="95">
        <v>0</v>
      </c>
      <c r="V141" s="61" t="s">
        <v>56</v>
      </c>
      <c r="X141" s="49"/>
      <c r="Y141" s="49"/>
      <c r="Z141" s="49"/>
      <c r="AA141" s="49"/>
      <c r="AB141" s="49"/>
      <c r="AC141" s="49"/>
      <c r="AD141" s="47"/>
    </row>
    <row r="142" spans="1:31" ht="12.75" hidden="1">
      <c r="A142" s="94" t="s">
        <v>125</v>
      </c>
      <c r="B142" s="45" t="s">
        <v>126</v>
      </c>
      <c r="C142" s="46">
        <f>(HearingAids[[#This Row],[haMSRP]]*2)+HearingAids[[#This Row],[chargerPrice]]</f>
        <v>7703</v>
      </c>
      <c r="D142" s="95">
        <v>3689</v>
      </c>
      <c r="E142" s="95" t="s">
        <v>10</v>
      </c>
      <c r="F142" s="47">
        <f>HearingAids[[#This Row],[haMSRP]]-((HearingAids[[#This Row],[ListPriceBinural]]-HearingAids[[#This Row],[chargerPrice]])/2)</f>
        <v>326.5</v>
      </c>
      <c r="G142" s="47">
        <f>HearingAids[[#This Row],[haMSRP]]-HearingAids[[#This Row],[Discount Amount 1]]</f>
        <v>3362.5</v>
      </c>
      <c r="H142" s="53">
        <v>7050</v>
      </c>
      <c r="I142" s="100" t="s">
        <v>160</v>
      </c>
      <c r="J142" s="49">
        <f>(HearingAids[[#This Row],[haMSRP]]-HearingAids[[#This Row],[Discount Amount 1]])-(HearingAids[[#This Row],[haNetPriceBinural]]-HearingAids[[#This Row],[chargerPrice]])/2</f>
        <v>1080</v>
      </c>
      <c r="K142" s="49">
        <f>HearingAids[[#This Row],[HAListPrice]]-HearingAids[[#This Row],[Discount Amount 2]]</f>
        <v>2282.5</v>
      </c>
      <c r="L142" s="53">
        <v>4890</v>
      </c>
      <c r="M142" s="95"/>
      <c r="N142" s="49"/>
      <c r="O142" s="95"/>
      <c r="P142" s="95"/>
      <c r="Q142" s="96">
        <v>1</v>
      </c>
      <c r="R142" s="95" t="s">
        <v>52</v>
      </c>
      <c r="S142" s="49">
        <v>325</v>
      </c>
      <c r="T142" s="43" t="s">
        <v>55</v>
      </c>
      <c r="U142" s="95">
        <v>0</v>
      </c>
      <c r="V142" s="61" t="s">
        <v>56</v>
      </c>
      <c r="X142" s="49"/>
      <c r="Y142" s="49"/>
      <c r="Z142" s="49"/>
      <c r="AA142" s="49"/>
      <c r="AB142" s="49"/>
      <c r="AC142" s="49"/>
      <c r="AD142" s="47"/>
    </row>
    <row r="143" spans="1:31" ht="12.75" hidden="1">
      <c r="A143" s="94" t="s">
        <v>127</v>
      </c>
      <c r="B143" s="45" t="s">
        <v>128</v>
      </c>
      <c r="C143" s="46">
        <f>(HearingAids[[#This Row],[haMSRP]]*2)+HearingAids[[#This Row],[chargerPrice]]</f>
        <v>9683</v>
      </c>
      <c r="D143" s="95">
        <v>4679</v>
      </c>
      <c r="E143" s="95" t="s">
        <v>10</v>
      </c>
      <c r="F143" s="47">
        <f>HearingAids[[#This Row],[haMSRP]]-((HearingAids[[#This Row],[ListPriceBinural]]-HearingAids[[#This Row],[chargerPrice]])/2)</f>
        <v>1166.5</v>
      </c>
      <c r="G143" s="47">
        <f>HearingAids[[#This Row],[haMSRP]]-HearingAids[[#This Row],[Discount Amount 1]]</f>
        <v>3512.5</v>
      </c>
      <c r="H143" s="53">
        <v>7350</v>
      </c>
      <c r="I143" s="100" t="s">
        <v>160</v>
      </c>
      <c r="J143" s="49">
        <f>(HearingAids[[#This Row],[haMSRP]]-HearingAids[[#This Row],[Discount Amount 1]])-(HearingAids[[#This Row],[haNetPriceBinural]]-HearingAids[[#This Row],[chargerPrice]])/2</f>
        <v>830</v>
      </c>
      <c r="K143" s="49">
        <f>HearingAids[[#This Row],[HAListPrice]]-HearingAids[[#This Row],[Discount Amount 2]]</f>
        <v>2682.5</v>
      </c>
      <c r="L143" s="53">
        <v>5690</v>
      </c>
      <c r="M143" s="95"/>
      <c r="N143" s="49"/>
      <c r="O143" s="95"/>
      <c r="P143" s="95"/>
      <c r="Q143" s="96">
        <v>1</v>
      </c>
      <c r="R143" s="95" t="s">
        <v>52</v>
      </c>
      <c r="S143" s="49">
        <v>325</v>
      </c>
      <c r="T143" s="43" t="s">
        <v>55</v>
      </c>
      <c r="U143" s="95">
        <v>0</v>
      </c>
      <c r="V143" s="61" t="s">
        <v>56</v>
      </c>
      <c r="X143" s="49"/>
      <c r="Y143" s="49"/>
      <c r="Z143" s="49"/>
      <c r="AA143" s="49"/>
      <c r="AB143" s="49"/>
      <c r="AC143" s="49"/>
      <c r="AD143" s="47"/>
    </row>
    <row r="144" spans="1:31" ht="12.75" hidden="1">
      <c r="A144" s="94" t="s">
        <v>47</v>
      </c>
      <c r="B144" s="45" t="s">
        <v>48</v>
      </c>
      <c r="C144" s="46">
        <f>(HearingAids[[#This Row],[haMSRP]]*2)+HearingAids[[#This Row],[chargerPrice]]</f>
        <v>4903</v>
      </c>
      <c r="D144" s="95">
        <v>2339</v>
      </c>
      <c r="E144" s="95" t="s">
        <v>10</v>
      </c>
      <c r="F144" s="47">
        <f>HearingAids[[#This Row],[haMSRP]]-((HearingAids[[#This Row],[ListPriceBinural]]-HearingAids[[#This Row],[chargerPrice]])/2)</f>
        <v>701.5</v>
      </c>
      <c r="G144" s="47">
        <f>HearingAids[[#This Row],[haMSRP]]-HearingAids[[#This Row],[Discount Amount 1]]</f>
        <v>1637.5</v>
      </c>
      <c r="H144" s="54">
        <v>3500</v>
      </c>
      <c r="I144" s="100" t="s">
        <v>161</v>
      </c>
      <c r="J144" s="49">
        <f>(HearingAids[[#This Row],[haMSRP]]-HearingAids[[#This Row],[Discount Amount 1]])-(HearingAids[[#This Row],[haNetPriceBinural]]-HearingAids[[#This Row],[chargerPrice]])/2</f>
        <v>55</v>
      </c>
      <c r="K144" s="49">
        <f>HearingAids[[#This Row],[HAListPrice]]-HearingAids[[#This Row],[Discount Amount 2]]</f>
        <v>1582.5</v>
      </c>
      <c r="L144" s="54">
        <v>3390</v>
      </c>
      <c r="M144" s="95"/>
      <c r="N144" s="49"/>
      <c r="O144" s="95"/>
      <c r="P144" s="101"/>
      <c r="Q144" s="102">
        <v>1</v>
      </c>
      <c r="R144" s="103" t="s">
        <v>49</v>
      </c>
      <c r="S144" s="86">
        <v>225</v>
      </c>
      <c r="T144" s="104" t="s">
        <v>63</v>
      </c>
      <c r="U144" s="20">
        <v>0</v>
      </c>
      <c r="V144" s="62" t="s">
        <v>56</v>
      </c>
      <c r="X144" s="49"/>
      <c r="Y144" s="49"/>
      <c r="Z144" s="49"/>
      <c r="AA144" s="49"/>
      <c r="AB144" s="49"/>
      <c r="AC144" s="49"/>
      <c r="AD144" s="47"/>
    </row>
    <row r="145" spans="1:31" ht="12.75" hidden="1">
      <c r="A145" s="94" t="s">
        <v>123</v>
      </c>
      <c r="B145" s="45" t="s">
        <v>124</v>
      </c>
      <c r="C145" s="46">
        <f>(HearingAids[[#This Row],[haMSRP]]*2)+HearingAids[[#This Row],[chargerPrice]]</f>
        <v>11963</v>
      </c>
      <c r="D145" s="95">
        <v>5819</v>
      </c>
      <c r="E145" s="95" t="s">
        <v>10</v>
      </c>
      <c r="F145" s="47">
        <f>HearingAids[[#This Row],[haMSRP]]-((HearingAids[[#This Row],[ListPriceBinural]]-HearingAids[[#This Row],[chargerPrice]])/2)</f>
        <v>1256.5</v>
      </c>
      <c r="G145" s="47">
        <f>HearingAids[[#This Row],[haMSRP]]-HearingAids[[#This Row],[Discount Amount 1]]</f>
        <v>4562.5</v>
      </c>
      <c r="H145" s="53">
        <v>9450</v>
      </c>
      <c r="I145" s="100" t="s">
        <v>161</v>
      </c>
      <c r="J145" s="49">
        <f>(HearingAids[[#This Row],[haMSRP]]-HearingAids[[#This Row],[Discount Amount 1]])-(HearingAids[[#This Row],[haNetPriceBinural]]-HearingAids[[#This Row],[chargerPrice]])/2</f>
        <v>1380</v>
      </c>
      <c r="K145" s="49">
        <f>HearingAids[[#This Row],[HAListPrice]]-HearingAids[[#This Row],[Discount Amount 2]]</f>
        <v>3182.5</v>
      </c>
      <c r="L145" s="53">
        <v>6690</v>
      </c>
      <c r="M145" s="95"/>
      <c r="N145" s="49"/>
      <c r="O145" s="95"/>
      <c r="P145" s="95"/>
      <c r="Q145" s="96">
        <v>1</v>
      </c>
      <c r="R145" s="95" t="s">
        <v>52</v>
      </c>
      <c r="S145" s="49">
        <v>325</v>
      </c>
      <c r="T145" s="43" t="s">
        <v>55</v>
      </c>
      <c r="U145" s="95">
        <v>0</v>
      </c>
      <c r="V145" s="61" t="s">
        <v>56</v>
      </c>
      <c r="X145" s="49"/>
      <c r="Y145" s="49"/>
      <c r="Z145" s="49"/>
      <c r="AA145" s="49"/>
      <c r="AB145" s="49"/>
      <c r="AC145" s="49"/>
      <c r="AD145" s="47"/>
      <c r="AE145" s="16"/>
    </row>
    <row r="146" spans="1:31" ht="12.75" hidden="1">
      <c r="A146" s="94" t="s">
        <v>125</v>
      </c>
      <c r="B146" s="45" t="s">
        <v>126</v>
      </c>
      <c r="C146" s="46">
        <f>(HearingAids[[#This Row],[haMSRP]]*2)+HearingAids[[#This Row],[chargerPrice]]</f>
        <v>7703</v>
      </c>
      <c r="D146" s="95">
        <v>3689</v>
      </c>
      <c r="E146" s="95" t="s">
        <v>10</v>
      </c>
      <c r="F146" s="47">
        <f>HearingAids[[#This Row],[haMSRP]]-((HearingAids[[#This Row],[ListPriceBinural]]-HearingAids[[#This Row],[chargerPrice]])/2)</f>
        <v>326.5</v>
      </c>
      <c r="G146" s="47">
        <f>HearingAids[[#This Row],[haMSRP]]-HearingAids[[#This Row],[Discount Amount 1]]</f>
        <v>3362.5</v>
      </c>
      <c r="H146" s="53">
        <v>7050</v>
      </c>
      <c r="I146" s="100" t="s">
        <v>161</v>
      </c>
      <c r="J146" s="49">
        <f>(HearingAids[[#This Row],[haMSRP]]-HearingAids[[#This Row],[Discount Amount 1]])-(HearingAids[[#This Row],[haNetPriceBinural]]-HearingAids[[#This Row],[chargerPrice]])/2</f>
        <v>1080</v>
      </c>
      <c r="K146" s="49">
        <f>HearingAids[[#This Row],[HAListPrice]]-HearingAids[[#This Row],[Discount Amount 2]]</f>
        <v>2282.5</v>
      </c>
      <c r="L146" s="53">
        <v>4890</v>
      </c>
      <c r="M146" s="95"/>
      <c r="N146" s="49"/>
      <c r="O146" s="95"/>
      <c r="P146" s="95"/>
      <c r="Q146" s="96">
        <v>1</v>
      </c>
      <c r="R146" s="95" t="s">
        <v>52</v>
      </c>
      <c r="S146" s="49">
        <v>325</v>
      </c>
      <c r="T146" s="43" t="s">
        <v>55</v>
      </c>
      <c r="U146" s="95">
        <v>0</v>
      </c>
      <c r="V146" s="61" t="s">
        <v>56</v>
      </c>
      <c r="X146" s="49"/>
      <c r="Y146" s="49"/>
      <c r="Z146" s="49"/>
      <c r="AA146" s="49"/>
      <c r="AB146" s="49"/>
      <c r="AC146" s="49"/>
      <c r="AD146" s="7"/>
      <c r="AE146" s="16"/>
    </row>
    <row r="147" spans="1:31" ht="12.75" hidden="1">
      <c r="A147" s="94" t="s">
        <v>127</v>
      </c>
      <c r="B147" s="45" t="s">
        <v>128</v>
      </c>
      <c r="C147" s="46">
        <f>(HearingAids[[#This Row],[haMSRP]]*2)+HearingAids[[#This Row],[chargerPrice]]</f>
        <v>9683</v>
      </c>
      <c r="D147" s="95">
        <v>4679</v>
      </c>
      <c r="E147" s="95" t="s">
        <v>10</v>
      </c>
      <c r="F147" s="47">
        <f>HearingAids[[#This Row],[haMSRP]]-((HearingAids[[#This Row],[ListPriceBinural]]-HearingAids[[#This Row],[chargerPrice]])/2)</f>
        <v>666.5</v>
      </c>
      <c r="G147" s="47">
        <f>HearingAids[[#This Row],[haMSRP]]-HearingAids[[#This Row],[Discount Amount 1]]</f>
        <v>4012.5</v>
      </c>
      <c r="H147" s="53">
        <v>8350</v>
      </c>
      <c r="I147" s="100" t="s">
        <v>161</v>
      </c>
      <c r="J147" s="49">
        <f>(HearingAids[[#This Row],[haMSRP]]-HearingAids[[#This Row],[Discount Amount 1]])-(HearingAids[[#This Row],[haNetPriceBinural]]-HearingAids[[#This Row],[chargerPrice]])/2</f>
        <v>1330</v>
      </c>
      <c r="K147" s="49">
        <f>HearingAids[[#This Row],[HAListPrice]]-HearingAids[[#This Row],[Discount Amount 2]]</f>
        <v>2682.5</v>
      </c>
      <c r="L147" s="53">
        <v>5690</v>
      </c>
      <c r="M147" s="95"/>
      <c r="N147" s="49"/>
      <c r="O147" s="95"/>
      <c r="P147" s="95"/>
      <c r="Q147" s="96">
        <v>1</v>
      </c>
      <c r="R147" s="95" t="s">
        <v>52</v>
      </c>
      <c r="S147" s="49">
        <v>325</v>
      </c>
      <c r="T147" s="43" t="s">
        <v>55</v>
      </c>
      <c r="U147" s="95">
        <v>0</v>
      </c>
      <c r="V147" s="61" t="s">
        <v>56</v>
      </c>
      <c r="X147" s="49"/>
      <c r="Y147" s="49"/>
      <c r="Z147" s="49"/>
      <c r="AA147" s="49"/>
      <c r="AB147" s="49"/>
      <c r="AC147" s="49"/>
      <c r="AD147" s="7"/>
      <c r="AE147" s="16"/>
    </row>
    <row r="148" spans="1:31" ht="12.75" hidden="1">
      <c r="A148" s="94" t="s">
        <v>47</v>
      </c>
      <c r="B148" s="45" t="s">
        <v>48</v>
      </c>
      <c r="C148" s="46">
        <f>(HearingAids[[#This Row],[haMSRP]]*2)+HearingAids[[#This Row],[chargerPrice]]</f>
        <v>4903</v>
      </c>
      <c r="D148" s="95">
        <v>2339</v>
      </c>
      <c r="E148" s="95" t="s">
        <v>10</v>
      </c>
      <c r="F148" s="47">
        <f>HearingAids[[#This Row],[haMSRP]]-((HearingAids[[#This Row],[ListPriceBinural]]-HearingAids[[#This Row],[chargerPrice]])/2)</f>
        <v>701.5</v>
      </c>
      <c r="G148" s="47">
        <f>HearingAids[[#This Row],[haMSRP]]-HearingAids[[#This Row],[Discount Amount 1]]</f>
        <v>1637.5</v>
      </c>
      <c r="H148" s="39">
        <v>3500</v>
      </c>
      <c r="I148" s="93" t="s">
        <v>162</v>
      </c>
      <c r="J148" s="49">
        <f>(HearingAids[[#This Row],[haMSRP]]-HearingAids[[#This Row],[Discount Amount 1]])-(HearingAids[[#This Row],[haNetPriceBinural]]-HearingAids[[#This Row],[chargerPrice]])/2</f>
        <v>55</v>
      </c>
      <c r="K148" s="49">
        <f>HearingAids[[#This Row],[HAListPrice]]-HearingAids[[#This Row],[Discount Amount 2]]</f>
        <v>1582.5</v>
      </c>
      <c r="L148" s="55">
        <v>3390</v>
      </c>
      <c r="M148" s="95"/>
      <c r="N148" s="49"/>
      <c r="O148" s="95"/>
      <c r="P148" s="95"/>
      <c r="Q148" s="96">
        <v>1</v>
      </c>
      <c r="R148" s="97" t="s">
        <v>49</v>
      </c>
      <c r="S148" s="86">
        <v>225</v>
      </c>
      <c r="T148" s="98" t="s">
        <v>63</v>
      </c>
      <c r="U148" s="98">
        <v>0</v>
      </c>
      <c r="V148" s="99" t="s">
        <v>56</v>
      </c>
      <c r="X148" s="49"/>
      <c r="Y148" s="49"/>
      <c r="Z148" s="49"/>
      <c r="AA148" s="49"/>
      <c r="AB148" s="49"/>
      <c r="AC148" s="49"/>
      <c r="AD148" s="7"/>
    </row>
    <row r="149" spans="1:31" ht="12.75" hidden="1">
      <c r="A149" s="94" t="s">
        <v>123</v>
      </c>
      <c r="B149" s="45" t="s">
        <v>124</v>
      </c>
      <c r="C149" s="46">
        <f>(HearingAids[[#This Row],[haMSRP]]*2)+HearingAids[[#This Row],[chargerPrice]]</f>
        <v>11963</v>
      </c>
      <c r="D149" s="95">
        <v>5819</v>
      </c>
      <c r="E149" s="95" t="s">
        <v>10</v>
      </c>
      <c r="F149" s="47">
        <f>HearingAids[[#This Row],[haMSRP]]-((HearingAids[[#This Row],[ListPriceBinural]]-HearingAids[[#This Row],[chargerPrice]])/2)</f>
        <v>1256.5</v>
      </c>
      <c r="G149" s="47">
        <f>HearingAids[[#This Row],[haMSRP]]-HearingAids[[#This Row],[Discount Amount 1]]</f>
        <v>4562.5</v>
      </c>
      <c r="H149" s="40">
        <v>9450</v>
      </c>
      <c r="I149" s="93" t="s">
        <v>162</v>
      </c>
      <c r="J149" s="49">
        <f>(HearingAids[[#This Row],[haMSRP]]-HearingAids[[#This Row],[Discount Amount 1]])-(HearingAids[[#This Row],[haNetPriceBinural]]-HearingAids[[#This Row],[chargerPrice]])/2</f>
        <v>1380</v>
      </c>
      <c r="K149" s="49">
        <f>HearingAids[[#This Row],[HAListPrice]]-HearingAids[[#This Row],[Discount Amount 2]]</f>
        <v>3182.5</v>
      </c>
      <c r="L149" s="56">
        <v>6690</v>
      </c>
      <c r="M149" s="95"/>
      <c r="N149" s="49"/>
      <c r="O149" s="95"/>
      <c r="P149" s="95"/>
      <c r="Q149" s="96">
        <v>1</v>
      </c>
      <c r="R149" s="96" t="s">
        <v>52</v>
      </c>
      <c r="S149" s="49">
        <v>325</v>
      </c>
      <c r="T149" s="98" t="s">
        <v>55</v>
      </c>
      <c r="U149" s="98">
        <v>0</v>
      </c>
      <c r="V149" s="99" t="s">
        <v>56</v>
      </c>
      <c r="X149" s="49"/>
      <c r="Y149" s="49"/>
      <c r="Z149" s="49"/>
      <c r="AA149" s="49"/>
      <c r="AB149" s="49"/>
      <c r="AC149" s="49"/>
      <c r="AD149" s="7"/>
    </row>
    <row r="150" spans="1:31" ht="12.75" hidden="1">
      <c r="A150" s="94" t="s">
        <v>125</v>
      </c>
      <c r="B150" s="45" t="s">
        <v>126</v>
      </c>
      <c r="C150" s="46">
        <f>(HearingAids[[#This Row],[haMSRP]]*2)+HearingAids[[#This Row],[chargerPrice]]</f>
        <v>7703</v>
      </c>
      <c r="D150" s="95">
        <v>3689</v>
      </c>
      <c r="E150" s="95" t="s">
        <v>10</v>
      </c>
      <c r="F150" s="47">
        <f>HearingAids[[#This Row],[haMSRP]]-((HearingAids[[#This Row],[ListPriceBinural]]-HearingAids[[#This Row],[chargerPrice]])/2)</f>
        <v>326.5</v>
      </c>
      <c r="G150" s="47">
        <f>HearingAids[[#This Row],[haMSRP]]-HearingAids[[#This Row],[Discount Amount 1]]</f>
        <v>3362.5</v>
      </c>
      <c r="H150" s="40">
        <v>7050</v>
      </c>
      <c r="I150" s="93" t="s">
        <v>162</v>
      </c>
      <c r="J150" s="49">
        <f>(HearingAids[[#This Row],[haMSRP]]-HearingAids[[#This Row],[Discount Amount 1]])-(HearingAids[[#This Row],[haNetPriceBinural]]-HearingAids[[#This Row],[chargerPrice]])/2</f>
        <v>1080</v>
      </c>
      <c r="K150" s="49">
        <f>HearingAids[[#This Row],[HAListPrice]]-HearingAids[[#This Row],[Discount Amount 2]]</f>
        <v>2282.5</v>
      </c>
      <c r="L150" s="56">
        <v>4890</v>
      </c>
      <c r="M150" s="95"/>
      <c r="N150" s="49"/>
      <c r="O150" s="95"/>
      <c r="P150" s="95"/>
      <c r="Q150" s="96">
        <v>1</v>
      </c>
      <c r="R150" s="96" t="s">
        <v>52</v>
      </c>
      <c r="S150" s="49">
        <v>325</v>
      </c>
      <c r="T150" s="98" t="s">
        <v>55</v>
      </c>
      <c r="U150" s="98">
        <v>0</v>
      </c>
      <c r="V150" s="99" t="s">
        <v>56</v>
      </c>
      <c r="X150" s="49"/>
      <c r="Y150" s="49"/>
      <c r="Z150" s="49"/>
      <c r="AA150" s="49"/>
      <c r="AB150" s="49"/>
      <c r="AC150" s="49"/>
      <c r="AD150" s="7"/>
    </row>
    <row r="151" spans="1:31" ht="12.75" hidden="1">
      <c r="A151" s="94" t="s">
        <v>127</v>
      </c>
      <c r="B151" s="45" t="s">
        <v>128</v>
      </c>
      <c r="C151" s="46">
        <f>(HearingAids[[#This Row],[haMSRP]]*2)+HearingAids[[#This Row],[chargerPrice]]</f>
        <v>9683</v>
      </c>
      <c r="D151" s="95">
        <v>4679</v>
      </c>
      <c r="E151" s="95" t="s">
        <v>10</v>
      </c>
      <c r="F151" s="47">
        <f>HearingAids[[#This Row],[haMSRP]]-((HearingAids[[#This Row],[ListPriceBinural]]-HearingAids[[#This Row],[chargerPrice]])/2)</f>
        <v>666.5</v>
      </c>
      <c r="G151" s="47">
        <f>HearingAids[[#This Row],[haMSRP]]-HearingAids[[#This Row],[Discount Amount 1]]</f>
        <v>4012.5</v>
      </c>
      <c r="H151" s="40">
        <v>8350</v>
      </c>
      <c r="I151" s="93" t="s">
        <v>162</v>
      </c>
      <c r="J151" s="49">
        <f>(HearingAids[[#This Row],[haMSRP]]-HearingAids[[#This Row],[Discount Amount 1]])-(HearingAids[[#This Row],[haNetPriceBinural]]-HearingAids[[#This Row],[chargerPrice]])/2</f>
        <v>1330</v>
      </c>
      <c r="K151" s="49">
        <f>HearingAids[[#This Row],[HAListPrice]]-HearingAids[[#This Row],[Discount Amount 2]]</f>
        <v>2682.5</v>
      </c>
      <c r="L151" s="56">
        <v>5690</v>
      </c>
      <c r="M151" s="95"/>
      <c r="N151" s="49"/>
      <c r="O151" s="95"/>
      <c r="P151" s="95"/>
      <c r="Q151" s="96">
        <v>1</v>
      </c>
      <c r="R151" s="96" t="s">
        <v>52</v>
      </c>
      <c r="S151" s="49">
        <v>325</v>
      </c>
      <c r="T151" s="98" t="s">
        <v>55</v>
      </c>
      <c r="U151" s="98">
        <v>0</v>
      </c>
      <c r="V151" s="99" t="s">
        <v>56</v>
      </c>
      <c r="X151" s="49"/>
      <c r="Y151" s="49"/>
      <c r="Z151" s="49"/>
      <c r="AA151" s="49"/>
      <c r="AB151" s="49"/>
      <c r="AC151" s="49"/>
      <c r="AD151" s="7"/>
    </row>
    <row r="152" spans="1:31" ht="12.75" hidden="1">
      <c r="A152" s="105" t="s">
        <v>47</v>
      </c>
      <c r="B152" s="45" t="s">
        <v>48</v>
      </c>
      <c r="C152" s="46">
        <f>(HearingAids[[#This Row],[haMSRP]]*2)+HearingAids[[#This Row],[chargerPrice]]</f>
        <v>4903</v>
      </c>
      <c r="D152" s="106">
        <v>2339</v>
      </c>
      <c r="E152" s="106" t="s">
        <v>10</v>
      </c>
      <c r="F152" s="47">
        <f>HearingAids[[#This Row],[haMSRP]]-((HearingAids[[#This Row],[ListPriceBinural]]-HearingAids[[#This Row],[chargerPrice]])/2)</f>
        <v>701.5</v>
      </c>
      <c r="G152" s="47">
        <f>HearingAids[[#This Row],[haMSRP]]-HearingAids[[#This Row],[Discount Amount 1]]</f>
        <v>1637.5</v>
      </c>
      <c r="H152" s="54">
        <v>3500</v>
      </c>
      <c r="I152" s="107" t="s">
        <v>163</v>
      </c>
      <c r="J152" s="49">
        <f>(HearingAids[[#This Row],[haMSRP]]-HearingAids[[#This Row],[Discount Amount 1]])-(HearingAids[[#This Row],[haNetPriceBinural]]-HearingAids[[#This Row],[chargerPrice]])/2</f>
        <v>55</v>
      </c>
      <c r="K152" s="49">
        <f>HearingAids[[#This Row],[HAListPrice]]-HearingAids[[#This Row],[Discount Amount 2]]</f>
        <v>1582.5</v>
      </c>
      <c r="L152" s="54">
        <v>3390</v>
      </c>
      <c r="M152" s="106"/>
      <c r="N152" s="106"/>
      <c r="O152" s="106"/>
      <c r="P152" s="108"/>
      <c r="Q152" s="109">
        <v>1</v>
      </c>
      <c r="R152" s="110" t="s">
        <v>49</v>
      </c>
      <c r="S152" s="86">
        <v>225</v>
      </c>
      <c r="T152" s="111" t="s">
        <v>63</v>
      </c>
      <c r="U152" s="57">
        <v>0</v>
      </c>
      <c r="V152" s="63" t="s">
        <v>56</v>
      </c>
      <c r="X152" s="49"/>
      <c r="Y152" s="49"/>
      <c r="Z152" s="49"/>
      <c r="AA152" s="49"/>
      <c r="AB152" s="49"/>
      <c r="AC152" s="49"/>
      <c r="AD152" s="47"/>
    </row>
    <row r="153" spans="1:31" ht="12.75" hidden="1">
      <c r="A153" s="45" t="s">
        <v>123</v>
      </c>
      <c r="B153" s="45" t="s">
        <v>124</v>
      </c>
      <c r="C153" s="46">
        <f>(HearingAids[[#This Row],[haMSRP]]*2)+HearingAids[[#This Row],[chargerPrice]]</f>
        <v>11963</v>
      </c>
      <c r="D153" s="49">
        <v>5819</v>
      </c>
      <c r="E153" s="49" t="s">
        <v>10</v>
      </c>
      <c r="F153" s="47">
        <f>HearingAids[[#This Row],[haMSRP]]-((HearingAids[[#This Row],[ListPriceBinural]]-HearingAids[[#This Row],[chargerPrice]])/2)</f>
        <v>1256.5</v>
      </c>
      <c r="G153" s="47">
        <f>HearingAids[[#This Row],[haMSRP]]-HearingAids[[#This Row],[Discount Amount 1]]</f>
        <v>4562.5</v>
      </c>
      <c r="H153" s="53">
        <v>9450</v>
      </c>
      <c r="I153" s="65" t="s">
        <v>163</v>
      </c>
      <c r="J153" s="49">
        <f>(HearingAids[[#This Row],[haMSRP]]-HearingAids[[#This Row],[Discount Amount 1]])-(HearingAids[[#This Row],[haNetPriceBinural]]-HearingAids[[#This Row],[chargerPrice]])/2</f>
        <v>1380</v>
      </c>
      <c r="K153" s="49">
        <f>HearingAids[[#This Row],[HAListPrice]]-HearingAids[[#This Row],[Discount Amount 2]]</f>
        <v>3182.5</v>
      </c>
      <c r="L153" s="53">
        <v>6690</v>
      </c>
      <c r="M153" s="49"/>
      <c r="N153" s="49"/>
      <c r="O153" s="49"/>
      <c r="P153" s="49"/>
      <c r="Q153" s="50">
        <v>1</v>
      </c>
      <c r="R153" s="49" t="s">
        <v>52</v>
      </c>
      <c r="S153" s="49">
        <v>325</v>
      </c>
      <c r="T153" s="6" t="s">
        <v>55</v>
      </c>
      <c r="U153" s="49">
        <v>0</v>
      </c>
      <c r="V153" s="64" t="s">
        <v>56</v>
      </c>
      <c r="Y153" s="16"/>
      <c r="Z153" s="16"/>
      <c r="AA153" s="16"/>
      <c r="AB153"/>
      <c r="AC153"/>
      <c r="AD153"/>
      <c r="AE153"/>
    </row>
    <row r="154" spans="1:31" ht="12.75" hidden="1">
      <c r="A154" s="45" t="s">
        <v>125</v>
      </c>
      <c r="B154" s="45" t="s">
        <v>126</v>
      </c>
      <c r="C154" s="46">
        <f>(HearingAids[[#This Row],[haMSRP]]*2)+HearingAids[[#This Row],[chargerPrice]]</f>
        <v>7703</v>
      </c>
      <c r="D154" s="49">
        <v>3689</v>
      </c>
      <c r="E154" s="49" t="s">
        <v>10</v>
      </c>
      <c r="F154" s="47">
        <f>HearingAids[[#This Row],[haMSRP]]-((HearingAids[[#This Row],[ListPriceBinural]]-HearingAids[[#This Row],[chargerPrice]])/2)</f>
        <v>326.5</v>
      </c>
      <c r="G154" s="47">
        <f>HearingAids[[#This Row],[haMSRP]]-HearingAids[[#This Row],[Discount Amount 1]]</f>
        <v>3362.5</v>
      </c>
      <c r="H154" s="53">
        <v>7050</v>
      </c>
      <c r="I154" s="65" t="s">
        <v>163</v>
      </c>
      <c r="J154" s="49">
        <f>(HearingAids[[#This Row],[haMSRP]]-HearingAids[[#This Row],[Discount Amount 1]])-(HearingAids[[#This Row],[haNetPriceBinural]]-HearingAids[[#This Row],[chargerPrice]])/2</f>
        <v>1080</v>
      </c>
      <c r="K154" s="49">
        <f>HearingAids[[#This Row],[HAListPrice]]-HearingAids[[#This Row],[Discount Amount 2]]</f>
        <v>2282.5</v>
      </c>
      <c r="L154" s="53">
        <v>4890</v>
      </c>
      <c r="M154" s="49"/>
      <c r="N154" s="49"/>
      <c r="O154" s="49"/>
      <c r="P154" s="49"/>
      <c r="Q154" s="50">
        <v>1</v>
      </c>
      <c r="R154" s="49" t="s">
        <v>52</v>
      </c>
      <c r="S154" s="49">
        <v>325</v>
      </c>
      <c r="T154" s="6" t="s">
        <v>55</v>
      </c>
      <c r="U154" s="49">
        <v>0</v>
      </c>
      <c r="V154" s="64" t="s">
        <v>56</v>
      </c>
      <c r="Y154" s="16"/>
      <c r="Z154" s="16"/>
      <c r="AA154" s="16"/>
      <c r="AB154"/>
      <c r="AC154"/>
      <c r="AD154"/>
      <c r="AE154"/>
    </row>
    <row r="155" spans="1:31" ht="12.75" hidden="1">
      <c r="A155" s="45" t="s">
        <v>127</v>
      </c>
      <c r="B155" s="45" t="s">
        <v>128</v>
      </c>
      <c r="C155" s="46">
        <f>(HearingAids[[#This Row],[haMSRP]]*2)+HearingAids[[#This Row],[chargerPrice]]</f>
        <v>9683</v>
      </c>
      <c r="D155" s="49">
        <v>4679</v>
      </c>
      <c r="E155" s="49" t="s">
        <v>10</v>
      </c>
      <c r="F155" s="47">
        <f>HearingAids[[#This Row],[haMSRP]]-((HearingAids[[#This Row],[ListPriceBinural]]-HearingAids[[#This Row],[chargerPrice]])/2)</f>
        <v>666.5</v>
      </c>
      <c r="G155" s="47">
        <f>HearingAids[[#This Row],[haMSRP]]-HearingAids[[#This Row],[Discount Amount 1]]</f>
        <v>4012.5</v>
      </c>
      <c r="H155" s="53">
        <v>8350</v>
      </c>
      <c r="I155" s="65" t="s">
        <v>163</v>
      </c>
      <c r="J155" s="49">
        <f>(HearingAids[[#This Row],[haMSRP]]-HearingAids[[#This Row],[Discount Amount 1]])-(HearingAids[[#This Row],[haNetPriceBinural]]-HearingAids[[#This Row],[chargerPrice]])/2</f>
        <v>1330</v>
      </c>
      <c r="K155" s="49">
        <f>HearingAids[[#This Row],[HAListPrice]]-HearingAids[[#This Row],[Discount Amount 2]]</f>
        <v>2682.5</v>
      </c>
      <c r="L155" s="53">
        <v>5690</v>
      </c>
      <c r="M155" s="49"/>
      <c r="N155" s="49"/>
      <c r="O155" s="49"/>
      <c r="P155" s="49"/>
      <c r="Q155" s="50">
        <v>1</v>
      </c>
      <c r="R155" s="49" t="s">
        <v>52</v>
      </c>
      <c r="S155" s="49">
        <v>325</v>
      </c>
      <c r="T155" s="6" t="s">
        <v>55</v>
      </c>
      <c r="U155" s="49">
        <v>0</v>
      </c>
      <c r="V155" s="64" t="s">
        <v>56</v>
      </c>
      <c r="Y155" s="16"/>
      <c r="Z155" s="16"/>
      <c r="AA155" s="16"/>
      <c r="AB155"/>
      <c r="AC155"/>
      <c r="AD155"/>
      <c r="AE155"/>
    </row>
    <row r="156" spans="1:31" ht="12.75" hidden="1">
      <c r="A156" s="45" t="s">
        <v>47</v>
      </c>
      <c r="B156" s="45" t="s">
        <v>48</v>
      </c>
      <c r="C156" s="46">
        <f>(HearingAids[[#This Row],[haMSRP]]*2)+HearingAids[[#This Row],[chargerPrice]]</f>
        <v>4903</v>
      </c>
      <c r="D156" s="47">
        <v>2339</v>
      </c>
      <c r="E156" s="47" t="s">
        <v>10</v>
      </c>
      <c r="F156" s="47">
        <f>HearingAids[[#This Row],[haMSRP]]-((HearingAids[[#This Row],[ListPriceBinural]]-HearingAids[[#This Row],[chargerPrice]])/2)</f>
        <v>701.5</v>
      </c>
      <c r="G156" s="47">
        <f>HearingAids[[#This Row],[haMSRP]]-HearingAids[[#This Row],[Discount Amount 1]]</f>
        <v>1637.5</v>
      </c>
      <c r="H156" s="54">
        <v>3500</v>
      </c>
      <c r="I156" s="65" t="s">
        <v>164</v>
      </c>
      <c r="J156" s="49">
        <f>(HearingAids[[#This Row],[haMSRP]]-HearingAids[[#This Row],[Discount Amount 1]])-(HearingAids[[#This Row],[haNetPriceBinural]]-HearingAids[[#This Row],[chargerPrice]])/2</f>
        <v>55</v>
      </c>
      <c r="K156" s="49">
        <f>HearingAids[[#This Row],[HAListPrice]]-HearingAids[[#This Row],[Discount Amount 2]]</f>
        <v>1582.5</v>
      </c>
      <c r="L156" s="54">
        <v>3390</v>
      </c>
      <c r="M156" s="49"/>
      <c r="N156" s="49"/>
      <c r="O156" s="49"/>
      <c r="P156" s="86"/>
      <c r="Q156" s="87">
        <v>1</v>
      </c>
      <c r="R156" s="88" t="s">
        <v>49</v>
      </c>
      <c r="S156" s="86">
        <v>225</v>
      </c>
      <c r="T156" s="89" t="s">
        <v>63</v>
      </c>
      <c r="U156" s="16">
        <v>0</v>
      </c>
      <c r="V156" s="60" t="s">
        <v>56</v>
      </c>
      <c r="Y156" s="16"/>
      <c r="Z156" s="16"/>
      <c r="AA156" s="16"/>
      <c r="AB156"/>
      <c r="AC156"/>
      <c r="AD156"/>
      <c r="AE156"/>
    </row>
    <row r="157" spans="1:31" ht="12.75" hidden="1">
      <c r="A157" s="45" t="s">
        <v>123</v>
      </c>
      <c r="B157" s="45" t="s">
        <v>124</v>
      </c>
      <c r="C157" s="46">
        <f>(HearingAids[[#This Row],[haMSRP]]*2)+HearingAids[[#This Row],[chargerPrice]]</f>
        <v>11963</v>
      </c>
      <c r="D157" s="47">
        <v>5819</v>
      </c>
      <c r="E157" s="47" t="s">
        <v>10</v>
      </c>
      <c r="F157" s="47">
        <f>HearingAids[[#This Row],[haMSRP]]-((HearingAids[[#This Row],[ListPriceBinural]]-HearingAids[[#This Row],[chargerPrice]])/2)</f>
        <v>1256.5</v>
      </c>
      <c r="G157" s="47">
        <f>HearingAids[[#This Row],[haMSRP]]-HearingAids[[#This Row],[Discount Amount 1]]</f>
        <v>4562.5</v>
      </c>
      <c r="H157" s="53">
        <v>9450</v>
      </c>
      <c r="I157" s="65" t="s">
        <v>164</v>
      </c>
      <c r="J157" s="49">
        <f>(HearingAids[[#This Row],[haMSRP]]-HearingAids[[#This Row],[Discount Amount 1]])-(HearingAids[[#This Row],[haNetPriceBinural]]-HearingAids[[#This Row],[chargerPrice]])/2</f>
        <v>1380</v>
      </c>
      <c r="K157" s="49">
        <f>HearingAids[[#This Row],[HAListPrice]]-HearingAids[[#This Row],[Discount Amount 2]]</f>
        <v>3182.5</v>
      </c>
      <c r="L157" s="53">
        <v>6690</v>
      </c>
      <c r="M157" s="49"/>
      <c r="N157" s="49"/>
      <c r="O157" s="49"/>
      <c r="P157" s="49"/>
      <c r="Q157" s="50">
        <v>1</v>
      </c>
      <c r="R157" s="49" t="s">
        <v>52</v>
      </c>
      <c r="S157" s="49">
        <v>325</v>
      </c>
      <c r="T157" s="6" t="s">
        <v>55</v>
      </c>
      <c r="U157" s="49">
        <v>0</v>
      </c>
      <c r="V157" s="59" t="s">
        <v>56</v>
      </c>
      <c r="Y157" s="16"/>
      <c r="Z157" s="16"/>
      <c r="AA157" s="16"/>
      <c r="AB157"/>
      <c r="AC157"/>
      <c r="AD157"/>
      <c r="AE157"/>
    </row>
    <row r="158" spans="1:31" ht="12.75" hidden="1">
      <c r="A158" s="45" t="s">
        <v>125</v>
      </c>
      <c r="B158" s="45" t="s">
        <v>126</v>
      </c>
      <c r="C158" s="46">
        <f>(HearingAids[[#This Row],[haMSRP]]*2)+HearingAids[[#This Row],[chargerPrice]]</f>
        <v>7703</v>
      </c>
      <c r="D158" s="47">
        <v>3689</v>
      </c>
      <c r="E158" s="47" t="s">
        <v>10</v>
      </c>
      <c r="F158" s="47">
        <f>HearingAids[[#This Row],[haMSRP]]-((HearingAids[[#This Row],[ListPriceBinural]]-HearingAids[[#This Row],[chargerPrice]])/2)</f>
        <v>326.5</v>
      </c>
      <c r="G158" s="47">
        <f>HearingAids[[#This Row],[haMSRP]]-HearingAids[[#This Row],[Discount Amount 1]]</f>
        <v>3362.5</v>
      </c>
      <c r="H158" s="53">
        <v>7050</v>
      </c>
      <c r="I158" s="65" t="s">
        <v>164</v>
      </c>
      <c r="J158" s="49">
        <f>(HearingAids[[#This Row],[haMSRP]]-HearingAids[[#This Row],[Discount Amount 1]])-(HearingAids[[#This Row],[haNetPriceBinural]]-HearingAids[[#This Row],[chargerPrice]])/2</f>
        <v>1080</v>
      </c>
      <c r="K158" s="49">
        <f>HearingAids[[#This Row],[HAListPrice]]-HearingAids[[#This Row],[Discount Amount 2]]</f>
        <v>2282.5</v>
      </c>
      <c r="L158" s="53">
        <v>4890</v>
      </c>
      <c r="M158" s="49"/>
      <c r="N158" s="49"/>
      <c r="O158" s="49"/>
      <c r="P158" s="49"/>
      <c r="Q158" s="50">
        <v>1</v>
      </c>
      <c r="R158" s="49" t="s">
        <v>52</v>
      </c>
      <c r="S158" s="49">
        <v>325</v>
      </c>
      <c r="T158" s="6" t="s">
        <v>55</v>
      </c>
      <c r="U158" s="49">
        <v>0</v>
      </c>
      <c r="V158" s="59" t="s">
        <v>56</v>
      </c>
      <c r="W158" s="49"/>
      <c r="Y158" s="16"/>
      <c r="Z158" s="16"/>
      <c r="AA158" s="16"/>
      <c r="AB158"/>
      <c r="AC158"/>
      <c r="AD158"/>
      <c r="AE158"/>
    </row>
    <row r="159" spans="1:31" ht="12.75" hidden="1">
      <c r="A159" s="45" t="s">
        <v>127</v>
      </c>
      <c r="B159" s="45" t="s">
        <v>128</v>
      </c>
      <c r="C159" s="46">
        <f>(HearingAids[[#This Row],[haMSRP]]*2)+HearingAids[[#This Row],[chargerPrice]]</f>
        <v>9683</v>
      </c>
      <c r="D159" s="47">
        <v>4679</v>
      </c>
      <c r="E159" s="47" t="s">
        <v>10</v>
      </c>
      <c r="F159" s="47">
        <f>HearingAids[[#This Row],[haMSRP]]-((HearingAids[[#This Row],[ListPriceBinural]]-HearingAids[[#This Row],[chargerPrice]])/2)</f>
        <v>666.5</v>
      </c>
      <c r="G159" s="47">
        <f>HearingAids[[#This Row],[haMSRP]]-HearingAids[[#This Row],[Discount Amount 1]]</f>
        <v>4012.5</v>
      </c>
      <c r="H159" s="53">
        <v>8350</v>
      </c>
      <c r="I159" s="65" t="s">
        <v>164</v>
      </c>
      <c r="J159" s="49">
        <f>(HearingAids[[#This Row],[haMSRP]]-HearingAids[[#This Row],[Discount Amount 1]])-(HearingAids[[#This Row],[haNetPriceBinural]]-HearingAids[[#This Row],[chargerPrice]])/2</f>
        <v>1330</v>
      </c>
      <c r="K159" s="49">
        <f>HearingAids[[#This Row],[HAListPrice]]-HearingAids[[#This Row],[Discount Amount 2]]</f>
        <v>2682.5</v>
      </c>
      <c r="L159" s="53">
        <v>5690</v>
      </c>
      <c r="M159" s="49"/>
      <c r="N159" s="49"/>
      <c r="O159" s="49"/>
      <c r="P159" s="49"/>
      <c r="Q159" s="50">
        <v>1</v>
      </c>
      <c r="R159" s="49" t="s">
        <v>52</v>
      </c>
      <c r="S159" s="49">
        <v>325</v>
      </c>
      <c r="T159" s="6" t="s">
        <v>55</v>
      </c>
      <c r="U159" s="49">
        <v>0</v>
      </c>
      <c r="V159" s="59" t="s">
        <v>56</v>
      </c>
      <c r="W159" s="49"/>
      <c r="Y159" s="16"/>
      <c r="Z159" s="16"/>
      <c r="AA159" s="16"/>
      <c r="AB159"/>
      <c r="AC159"/>
      <c r="AD159"/>
      <c r="AE159"/>
    </row>
    <row r="160" spans="1:31" ht="12.75" hidden="1">
      <c r="A160" s="45" t="s">
        <v>165</v>
      </c>
      <c r="B160" s="45" t="s">
        <v>166</v>
      </c>
      <c r="C160" s="46">
        <f>(HearingAids[[#This Row],[haMSRP]]*2)+HearingAids[[#This Row],[chargerPrice]]</f>
        <v>6043</v>
      </c>
      <c r="D160" s="46">
        <v>2909</v>
      </c>
      <c r="E160" s="47" t="s">
        <v>10</v>
      </c>
      <c r="F160" s="47">
        <f>HearingAids[[#This Row],[haMSRP]]-((HearingAids[[#This Row],[ListPriceBinural]]-HearingAids[[#This Row],[chargerPrice]])/2)</f>
        <v>-112.5</v>
      </c>
      <c r="G160" s="47">
        <f>HearingAids[[#This Row],[haMSRP]]-HearingAids[[#This Row],[Discount Amount 1]]</f>
        <v>3021.5</v>
      </c>
      <c r="H160" s="39">
        <v>6268</v>
      </c>
      <c r="I160" s="48" t="s">
        <v>4</v>
      </c>
      <c r="J160" s="47">
        <f>(HearingAids[[#This Row],[haMSRP]]-HearingAids[[#This Row],[Discount Amount 1]])-(HearingAids[[#This Row],[haNetPriceBinural]]-HearingAids[[#This Row],[chargerPrice]])/2</f>
        <v>1935</v>
      </c>
      <c r="K160" s="47">
        <f>HearingAids[[#This Row],[HAListPrice]]-HearingAids[[#This Row],[Discount Amount 2]]</f>
        <v>1086.5</v>
      </c>
      <c r="L160" s="55">
        <f>1199*2</f>
        <v>2398</v>
      </c>
      <c r="M160" s="49"/>
      <c r="N160" s="49">
        <f>((HearingAids[[#This Row],[haNetPriceBinural]]-HearingAids[[#This Row],[chargerPrice]])/2)-HearingAids[[#This Row],[haNetPriceBinural2]]</f>
        <v>1086.5</v>
      </c>
      <c r="O160" s="49">
        <f>HearingAids[[#This Row],[haNetPrice]]-HearingAids[[#This Row],[Discount Amount 3]]</f>
        <v>0</v>
      </c>
      <c r="P160" s="47"/>
      <c r="Q160" s="50">
        <v>1</v>
      </c>
      <c r="R160" s="110" t="s">
        <v>49</v>
      </c>
      <c r="S160" s="86">
        <v>225</v>
      </c>
      <c r="T160" s="89" t="s">
        <v>63</v>
      </c>
      <c r="U160" s="49">
        <v>0</v>
      </c>
      <c r="V160" s="59" t="s">
        <v>56</v>
      </c>
      <c r="X160" s="49"/>
      <c r="Y160" s="49"/>
      <c r="Z160" s="49"/>
      <c r="AA160" s="49"/>
      <c r="AB160" s="49"/>
      <c r="AC160" s="49"/>
      <c r="AD160" s="49"/>
    </row>
    <row r="161" spans="1:30" ht="12.75" hidden="1">
      <c r="A161" s="45" t="s">
        <v>167</v>
      </c>
      <c r="B161" s="45" t="s">
        <v>168</v>
      </c>
      <c r="C161" s="46">
        <f>(HearingAids[[#This Row],[haMSRP]]*2)+HearingAids[[#This Row],[chargerPrice]]</f>
        <v>7463</v>
      </c>
      <c r="D161" s="46">
        <v>3569</v>
      </c>
      <c r="E161" s="47" t="s">
        <v>10</v>
      </c>
      <c r="F161" s="47">
        <f>HearingAids[[#This Row],[haMSRP]]-((HearingAids[[#This Row],[ListPriceBinural]]-HearingAids[[#This Row],[chargerPrice]])/2)</f>
        <v>-162.5</v>
      </c>
      <c r="G161" s="47">
        <f>HearingAids[[#This Row],[haMSRP]]-HearingAids[[#This Row],[Discount Amount 1]]</f>
        <v>3731.5</v>
      </c>
      <c r="H161" s="39">
        <v>7788</v>
      </c>
      <c r="I161" s="48" t="s">
        <v>4</v>
      </c>
      <c r="J161" s="47">
        <f>(HearingAids[[#This Row],[haMSRP]]-HearingAids[[#This Row],[Discount Amount 1]])-(HearingAids[[#This Row],[haNetPriceBinural]]-HearingAids[[#This Row],[chargerPrice]])/2</f>
        <v>2095</v>
      </c>
      <c r="K161" s="47">
        <f>HearingAids[[#This Row],[HAListPrice]]-HearingAids[[#This Row],[Discount Amount 2]]</f>
        <v>1636.5</v>
      </c>
      <c r="L161" s="55">
        <f>1799*2</f>
        <v>3598</v>
      </c>
      <c r="M161" s="49"/>
      <c r="N161" s="49">
        <f>((HearingAids[[#This Row],[haNetPriceBinural]]-HearingAids[[#This Row],[chargerPrice]])/2)-HearingAids[[#This Row],[haNetPriceBinural2]]</f>
        <v>1636.5</v>
      </c>
      <c r="O161" s="49">
        <f>HearingAids[[#This Row],[haNetPrice]]-HearingAids[[#This Row],[Discount Amount 3]]</f>
        <v>0</v>
      </c>
      <c r="P161" s="47"/>
      <c r="Q161" s="50">
        <v>1</v>
      </c>
      <c r="R161" s="49" t="s">
        <v>52</v>
      </c>
      <c r="S161" s="49">
        <v>325</v>
      </c>
      <c r="T161" s="6" t="s">
        <v>55</v>
      </c>
      <c r="U161" s="49">
        <v>0</v>
      </c>
      <c r="V161" s="59" t="s">
        <v>56</v>
      </c>
      <c r="X161" s="49"/>
      <c r="Y161" s="49"/>
      <c r="Z161" s="49"/>
      <c r="AA161" s="49"/>
      <c r="AB161" s="49"/>
      <c r="AC161" s="49"/>
      <c r="AD161" s="47"/>
    </row>
    <row r="162" spans="1:30" ht="12.75" hidden="1">
      <c r="A162" s="45" t="s">
        <v>169</v>
      </c>
      <c r="B162" s="45" t="s">
        <v>170</v>
      </c>
      <c r="C162" s="46">
        <f>(HearingAids[[#This Row],[haMSRP]]*2)+HearingAids[[#This Row],[chargerPrice]]</f>
        <v>9323</v>
      </c>
      <c r="D162" s="46">
        <v>4499</v>
      </c>
      <c r="E162" s="47" t="s">
        <v>10</v>
      </c>
      <c r="F162" s="47">
        <f>HearingAids[[#This Row],[haMSRP]]-((HearingAids[[#This Row],[ListPriceBinural]]-HearingAids[[#This Row],[chargerPrice]])/2)</f>
        <v>-162.5</v>
      </c>
      <c r="G162" s="47">
        <f>HearingAids[[#This Row],[haMSRP]]-HearingAids[[#This Row],[Discount Amount 1]]</f>
        <v>4661.5</v>
      </c>
      <c r="H162" s="39">
        <v>9648</v>
      </c>
      <c r="I162" s="48" t="s">
        <v>4</v>
      </c>
      <c r="J162" s="47">
        <f>(HearingAids[[#This Row],[haMSRP]]-HearingAids[[#This Row],[Discount Amount 1]])-(HearingAids[[#This Row],[haNetPriceBinural]]-HearingAids[[#This Row],[chargerPrice]])/2</f>
        <v>2575</v>
      </c>
      <c r="K162" s="47">
        <f>HearingAids[[#This Row],[HAListPrice]]-HearingAids[[#This Row],[Discount Amount 2]]</f>
        <v>2086.5</v>
      </c>
      <c r="L162" s="55">
        <f>2249*2</f>
        <v>4498</v>
      </c>
      <c r="M162" s="49"/>
      <c r="N162" s="49">
        <f>((HearingAids[[#This Row],[haNetPriceBinural]]-HearingAids[[#This Row],[chargerPrice]])/2)-HearingAids[[#This Row],[haNetPriceBinural2]]</f>
        <v>2086.5</v>
      </c>
      <c r="O162" s="49">
        <f>HearingAids[[#This Row],[haNetPrice]]-HearingAids[[#This Row],[Discount Amount 3]]</f>
        <v>0</v>
      </c>
      <c r="P162" s="47"/>
      <c r="Q162" s="50">
        <v>1</v>
      </c>
      <c r="R162" s="49" t="s">
        <v>52</v>
      </c>
      <c r="S162" s="49">
        <v>325</v>
      </c>
      <c r="T162" s="6" t="s">
        <v>55</v>
      </c>
      <c r="U162" s="49">
        <v>0</v>
      </c>
      <c r="V162" s="59" t="s">
        <v>56</v>
      </c>
      <c r="X162" s="49"/>
      <c r="Y162" s="49"/>
      <c r="Z162" s="49"/>
      <c r="AA162" s="49"/>
      <c r="AB162" s="49"/>
      <c r="AC162" s="49"/>
      <c r="AD162" s="47"/>
    </row>
    <row r="163" spans="1:30" ht="12.75" hidden="1">
      <c r="A163" s="45" t="s">
        <v>1</v>
      </c>
      <c r="B163" s="45" t="s">
        <v>171</v>
      </c>
      <c r="C163" s="46">
        <f>(HearingAids[[#This Row],[haMSRP]]*2)+HearingAids[[#This Row],[chargerPrice]]</f>
        <v>11483</v>
      </c>
      <c r="D163" s="46">
        <v>5579</v>
      </c>
      <c r="E163" s="47" t="s">
        <v>10</v>
      </c>
      <c r="F163" s="47">
        <f>HearingAids[[#This Row],[haMSRP]]-((HearingAids[[#This Row],[ListPriceBinural]]-HearingAids[[#This Row],[chargerPrice]])/2)</f>
        <v>-162.5</v>
      </c>
      <c r="G163" s="47">
        <f>HearingAids[[#This Row],[haMSRP]]-HearingAids[[#This Row],[Discount Amount 1]]</f>
        <v>5741.5</v>
      </c>
      <c r="H163" s="39">
        <v>11808</v>
      </c>
      <c r="I163" s="48" t="s">
        <v>4</v>
      </c>
      <c r="J163" s="47">
        <f>(HearingAids[[#This Row],[haMSRP]]-HearingAids[[#This Row],[Discount Amount 1]])-(HearingAids[[#This Row],[haNetPriceBinural]]-HearingAids[[#This Row],[chargerPrice]])/2</f>
        <v>3405</v>
      </c>
      <c r="K163" s="47">
        <f>HearingAids[[#This Row],[HAListPrice]]-HearingAids[[#This Row],[Discount Amount 2]]</f>
        <v>2336.5</v>
      </c>
      <c r="L163" s="55">
        <f>2499*2</f>
        <v>4998</v>
      </c>
      <c r="M163" s="49"/>
      <c r="N163" s="49">
        <f>((HearingAids[[#This Row],[haNetPriceBinural]]-HearingAids[[#This Row],[chargerPrice]])/2)-HearingAids[[#This Row],[haNetPriceBinural2]]</f>
        <v>2336.5</v>
      </c>
      <c r="O163" s="49">
        <f>HearingAids[[#This Row],[haNetPrice]]-HearingAids[[#This Row],[Discount Amount 3]]</f>
        <v>0</v>
      </c>
      <c r="P163" s="47"/>
      <c r="Q163" s="50">
        <v>1</v>
      </c>
      <c r="R163" s="49" t="s">
        <v>52</v>
      </c>
      <c r="S163" s="49">
        <v>325</v>
      </c>
      <c r="T163" s="6" t="s">
        <v>55</v>
      </c>
      <c r="U163" s="49">
        <v>0</v>
      </c>
      <c r="V163" s="59" t="s">
        <v>56</v>
      </c>
      <c r="X163" s="49"/>
      <c r="Y163" s="49"/>
      <c r="Z163" s="49"/>
      <c r="AA163" s="49"/>
      <c r="AB163" s="49"/>
      <c r="AC163" s="49"/>
      <c r="AD163" s="7"/>
    </row>
    <row r="164" spans="1:30" ht="12.75">
      <c r="A164" s="45"/>
      <c r="B164" s="45"/>
      <c r="C164" s="45"/>
      <c r="I164" s="47"/>
      <c r="J164" s="47"/>
      <c r="K164" s="47"/>
      <c r="M164" s="49"/>
      <c r="N164" s="49"/>
      <c r="O164" s="49"/>
      <c r="Q164" s="65"/>
      <c r="U164" s="49"/>
      <c r="X164" s="49"/>
      <c r="Y164" s="49"/>
      <c r="Z164" s="49"/>
      <c r="AA164" s="49"/>
      <c r="AB164" s="49"/>
      <c r="AC164" s="49"/>
      <c r="AD164" s="7"/>
    </row>
    <row r="165" spans="1:30" ht="12.75">
      <c r="A165" s="45"/>
      <c r="B165" s="45"/>
      <c r="C165" s="45"/>
      <c r="I165" s="47"/>
      <c r="J165" s="47"/>
      <c r="K165" s="47"/>
      <c r="M165" s="49"/>
      <c r="N165" s="49"/>
      <c r="O165" s="49"/>
      <c r="Q165" s="65"/>
      <c r="U165" s="49"/>
      <c r="X165" s="49"/>
      <c r="Y165" s="49"/>
      <c r="Z165" s="49"/>
      <c r="AA165" s="49"/>
      <c r="AB165" s="49"/>
      <c r="AC165" s="49"/>
      <c r="AD165" s="7"/>
    </row>
    <row r="166" spans="1:30" ht="12.75">
      <c r="A166" s="45"/>
      <c r="B166" s="45"/>
      <c r="C166" s="45"/>
      <c r="I166" s="47"/>
      <c r="J166" s="47"/>
      <c r="K166" s="47"/>
      <c r="M166" s="49"/>
      <c r="N166" s="49"/>
      <c r="O166" s="49"/>
      <c r="Q166" s="65"/>
      <c r="U166" s="49"/>
      <c r="X166" s="49"/>
      <c r="Y166" s="49"/>
      <c r="Z166" s="49"/>
      <c r="AA166" s="49"/>
      <c r="AB166" s="49"/>
      <c r="AC166" s="49"/>
      <c r="AD166" s="49"/>
    </row>
    <row r="167" spans="1:30" ht="12.75">
      <c r="A167" s="45"/>
      <c r="B167" s="45"/>
      <c r="C167" s="45"/>
      <c r="H167" s="15"/>
      <c r="I167" s="47"/>
      <c r="J167" s="47"/>
      <c r="K167" s="47"/>
      <c r="M167" s="49"/>
      <c r="N167" s="49"/>
      <c r="O167" s="49"/>
      <c r="Q167" s="65"/>
      <c r="U167" s="49"/>
      <c r="X167" s="49"/>
      <c r="Y167" s="49"/>
      <c r="Z167" s="49"/>
      <c r="AA167" s="49"/>
      <c r="AB167" s="49"/>
      <c r="AC167" s="49"/>
      <c r="AD167" s="49"/>
    </row>
    <row r="168" spans="1:30" ht="12.75">
      <c r="A168" s="45"/>
      <c r="B168" s="45"/>
      <c r="C168" s="45"/>
      <c r="H168" s="15"/>
      <c r="I168" s="47"/>
      <c r="J168" s="47"/>
      <c r="K168" s="47"/>
      <c r="M168" s="49"/>
      <c r="N168" s="49"/>
      <c r="O168" s="49"/>
      <c r="Q168" s="65"/>
      <c r="U168" s="49"/>
      <c r="X168" s="49"/>
      <c r="Y168" s="49"/>
      <c r="Z168" s="49"/>
      <c r="AA168" s="49"/>
      <c r="AB168" s="49"/>
      <c r="AC168" s="49"/>
      <c r="AD168" s="7"/>
    </row>
    <row r="169" spans="1:30" ht="12.75">
      <c r="A169" s="45"/>
      <c r="B169" s="45"/>
      <c r="C169" s="45"/>
      <c r="I169" s="47"/>
      <c r="J169" s="47"/>
      <c r="K169" s="47"/>
      <c r="M169" s="49"/>
      <c r="N169" s="49"/>
      <c r="O169" s="49"/>
      <c r="Q169" s="65"/>
      <c r="U169" s="49"/>
      <c r="X169" s="49"/>
      <c r="Y169" s="49"/>
      <c r="Z169" s="49"/>
      <c r="AA169" s="49"/>
      <c r="AB169" s="49"/>
      <c r="AC169" s="49"/>
      <c r="AD169" s="7"/>
    </row>
    <row r="170" spans="1:30" ht="12.75">
      <c r="A170" s="45"/>
      <c r="B170" s="45"/>
      <c r="C170" s="45"/>
      <c r="I170" s="47"/>
      <c r="J170" s="47"/>
      <c r="K170" s="47"/>
      <c r="M170" s="49"/>
      <c r="N170" s="49"/>
      <c r="O170" s="49"/>
      <c r="Q170" s="65"/>
      <c r="U170" s="49"/>
      <c r="X170" s="49"/>
      <c r="Y170" s="49"/>
      <c r="Z170" s="49"/>
      <c r="AA170" s="49"/>
      <c r="AB170" s="49"/>
      <c r="AC170" s="49"/>
      <c r="AD170" s="7"/>
    </row>
    <row r="171" spans="1:30" ht="12.75">
      <c r="A171" s="45"/>
      <c r="B171" s="45"/>
      <c r="C171" s="45"/>
      <c r="I171" s="47"/>
      <c r="J171" s="47"/>
      <c r="K171" s="47"/>
      <c r="M171" s="49"/>
      <c r="N171" s="49"/>
      <c r="O171" s="49"/>
      <c r="Q171" s="65"/>
      <c r="U171" s="49"/>
      <c r="X171" s="49"/>
      <c r="Y171" s="49"/>
      <c r="Z171" s="49"/>
      <c r="AA171" s="49"/>
      <c r="AB171" s="49"/>
      <c r="AC171" s="49"/>
      <c r="AD171" s="49"/>
    </row>
    <row r="172" spans="1:30" ht="12.75">
      <c r="A172" s="45"/>
      <c r="B172" s="45"/>
      <c r="C172" s="45"/>
      <c r="I172" s="47"/>
      <c r="J172" s="47"/>
      <c r="K172" s="47"/>
      <c r="M172" s="49"/>
      <c r="N172" s="49"/>
      <c r="O172" s="49"/>
      <c r="Q172" s="65"/>
      <c r="U172" s="49"/>
      <c r="X172" s="49"/>
      <c r="Y172" s="49"/>
      <c r="Z172" s="49"/>
      <c r="AA172" s="49"/>
      <c r="AB172" s="49"/>
      <c r="AC172" s="49"/>
      <c r="AD172" s="49"/>
    </row>
    <row r="173" spans="1:30" ht="12.75">
      <c r="A173" s="45"/>
      <c r="B173" s="45"/>
      <c r="C173" s="45"/>
      <c r="I173" s="47"/>
      <c r="J173" s="47"/>
      <c r="K173" s="47"/>
      <c r="M173" s="49"/>
      <c r="N173" s="49"/>
      <c r="O173" s="49"/>
      <c r="Q173" s="65"/>
      <c r="U173" s="49"/>
      <c r="X173" s="49"/>
      <c r="Y173" s="49"/>
      <c r="Z173" s="49"/>
      <c r="AA173" s="49"/>
      <c r="AB173" s="49"/>
      <c r="AC173" s="49"/>
      <c r="AD173" s="7"/>
    </row>
    <row r="174" spans="1:30" ht="12.75">
      <c r="A174" s="45"/>
      <c r="B174" s="45"/>
      <c r="C174" s="45"/>
      <c r="I174" s="47"/>
      <c r="J174" s="47"/>
      <c r="K174" s="47"/>
      <c r="M174" s="49"/>
      <c r="N174" s="49"/>
      <c r="O174" s="49"/>
      <c r="Q174" s="65"/>
      <c r="U174" s="49"/>
      <c r="X174" s="49"/>
      <c r="Y174" s="49"/>
      <c r="Z174" s="49"/>
      <c r="AA174" s="49"/>
      <c r="AB174" s="49"/>
      <c r="AC174" s="49"/>
      <c r="AD174" s="7"/>
    </row>
    <row r="175" spans="1:30" ht="12.75">
      <c r="A175" s="45"/>
      <c r="B175" s="45"/>
      <c r="C175" s="45"/>
      <c r="I175" s="47"/>
      <c r="J175" s="47"/>
      <c r="K175" s="47"/>
      <c r="M175" s="49"/>
      <c r="N175" s="49"/>
      <c r="O175" s="49"/>
      <c r="Q175" s="65"/>
      <c r="U175" s="49"/>
      <c r="X175" s="49"/>
      <c r="Y175" s="49"/>
      <c r="Z175" s="49"/>
      <c r="AA175" s="49"/>
      <c r="AB175" s="49"/>
      <c r="AC175" s="49"/>
      <c r="AD175" s="7"/>
    </row>
    <row r="176" spans="1:30" ht="12.75">
      <c r="A176" s="45"/>
      <c r="B176" s="45"/>
      <c r="C176" s="45"/>
      <c r="I176" s="47"/>
      <c r="J176" s="47"/>
      <c r="K176" s="47"/>
      <c r="M176" s="49"/>
      <c r="N176" s="49"/>
      <c r="O176" s="49"/>
      <c r="Q176" s="65"/>
      <c r="U176" s="49"/>
      <c r="X176" s="49"/>
      <c r="Y176" s="49"/>
      <c r="Z176" s="49"/>
      <c r="AA176" s="49"/>
      <c r="AB176" s="49"/>
      <c r="AC176" s="49"/>
      <c r="AD176" s="49"/>
    </row>
    <row r="177" spans="1:30" ht="12.75">
      <c r="A177" s="45"/>
      <c r="B177" s="45"/>
      <c r="C177" s="45"/>
      <c r="I177" s="47"/>
      <c r="J177" s="47"/>
      <c r="K177" s="47"/>
      <c r="M177" s="49"/>
      <c r="N177" s="49"/>
      <c r="O177" s="49"/>
      <c r="Q177" s="65"/>
      <c r="U177" s="49"/>
      <c r="X177" s="49"/>
      <c r="Y177" s="49"/>
      <c r="Z177" s="49"/>
      <c r="AA177" s="49"/>
      <c r="AB177" s="49"/>
      <c r="AC177" s="49"/>
      <c r="AD177" s="49"/>
    </row>
    <row r="178" spans="1:30" ht="12.75">
      <c r="A178" s="45"/>
      <c r="B178" s="45"/>
      <c r="C178" s="45"/>
      <c r="I178" s="47"/>
      <c r="J178" s="47"/>
      <c r="K178" s="47"/>
      <c r="M178" s="49"/>
      <c r="N178" s="49"/>
      <c r="O178" s="49"/>
      <c r="Q178" s="65"/>
      <c r="U178" s="49"/>
      <c r="X178" s="49"/>
      <c r="Y178" s="49"/>
      <c r="Z178" s="49"/>
      <c r="AA178" s="49"/>
      <c r="AB178" s="49"/>
      <c r="AC178" s="49"/>
      <c r="AD178" s="47"/>
    </row>
    <row r="179" spans="1:30" ht="12.75">
      <c r="A179" s="45"/>
      <c r="B179" s="45"/>
      <c r="C179" s="45"/>
      <c r="I179" s="47"/>
      <c r="J179" s="47"/>
      <c r="K179" s="47"/>
      <c r="M179" s="49"/>
      <c r="N179" s="49"/>
      <c r="O179" s="49"/>
      <c r="Q179" s="65"/>
      <c r="U179" s="49"/>
      <c r="X179" s="49"/>
      <c r="Y179" s="49"/>
      <c r="Z179" s="49"/>
      <c r="AA179" s="49"/>
      <c r="AB179" s="49"/>
      <c r="AC179" s="49"/>
      <c r="AD179" s="47"/>
    </row>
    <row r="180" spans="1:30" ht="12.75">
      <c r="A180" s="45"/>
      <c r="B180" s="45"/>
      <c r="C180" s="45"/>
      <c r="I180" s="47"/>
      <c r="J180" s="47"/>
      <c r="K180" s="47"/>
      <c r="M180" s="49"/>
      <c r="N180" s="49"/>
      <c r="O180" s="49"/>
      <c r="Q180" s="65"/>
      <c r="U180" s="49"/>
      <c r="X180" s="49"/>
      <c r="Y180" s="49"/>
      <c r="Z180" s="49"/>
      <c r="AA180" s="49"/>
      <c r="AB180" s="49"/>
      <c r="AC180" s="49"/>
      <c r="AD180" s="47"/>
    </row>
    <row r="181" spans="1:30" ht="12.75">
      <c r="A181" s="45"/>
      <c r="B181" s="45"/>
      <c r="C181" s="45"/>
      <c r="I181" s="47"/>
      <c r="J181" s="47"/>
      <c r="K181" s="47"/>
      <c r="M181" s="49"/>
      <c r="N181" s="49"/>
      <c r="O181" s="49"/>
      <c r="Q181" s="65"/>
      <c r="U181" s="49"/>
      <c r="X181" s="49"/>
      <c r="Y181" s="49"/>
      <c r="Z181" s="49"/>
      <c r="AA181" s="49"/>
      <c r="AB181" s="49"/>
      <c r="AC181" s="49"/>
      <c r="AD181" s="47"/>
    </row>
    <row r="182" spans="1:30" ht="12.75">
      <c r="A182" s="45"/>
      <c r="B182" s="45"/>
      <c r="C182" s="45"/>
      <c r="I182" s="47"/>
      <c r="J182" s="47"/>
      <c r="K182" s="47"/>
      <c r="M182" s="49"/>
      <c r="N182" s="49"/>
      <c r="O182" s="49"/>
      <c r="Q182" s="65"/>
      <c r="U182" s="49"/>
      <c r="X182" s="49"/>
      <c r="Y182" s="49"/>
      <c r="Z182" s="49"/>
      <c r="AA182" s="49"/>
      <c r="AB182" s="49"/>
      <c r="AC182" s="49"/>
      <c r="AD182" s="47"/>
    </row>
    <row r="183" spans="1:30" ht="12.75">
      <c r="A183" s="45"/>
      <c r="B183" s="45"/>
      <c r="C183" s="45"/>
      <c r="I183" s="47"/>
      <c r="J183" s="47"/>
      <c r="K183" s="47"/>
      <c r="M183" s="49"/>
      <c r="N183" s="49"/>
      <c r="O183" s="49"/>
      <c r="Q183" s="65"/>
      <c r="U183" s="49"/>
      <c r="X183" s="49"/>
      <c r="Y183" s="49"/>
      <c r="Z183" s="49"/>
      <c r="AA183" s="49"/>
      <c r="AB183" s="49"/>
      <c r="AC183" s="49"/>
      <c r="AD183" s="47"/>
    </row>
    <row r="184" spans="1:30" ht="12.75">
      <c r="A184" s="45"/>
      <c r="B184" s="45"/>
      <c r="C184" s="45"/>
      <c r="I184" s="47"/>
      <c r="J184" s="47"/>
      <c r="K184" s="47"/>
      <c r="M184" s="49"/>
      <c r="N184" s="49"/>
      <c r="O184" s="49"/>
      <c r="Q184" s="65"/>
      <c r="U184" s="49"/>
      <c r="X184" s="49"/>
      <c r="Y184" s="49"/>
      <c r="Z184" s="49"/>
      <c r="AA184" s="49"/>
      <c r="AB184" s="49"/>
      <c r="AC184" s="49"/>
      <c r="AD184" s="47"/>
    </row>
    <row r="185" spans="1:30" ht="12.75">
      <c r="A185" s="45"/>
      <c r="B185" s="45"/>
      <c r="C185" s="45"/>
      <c r="I185" s="47"/>
      <c r="J185" s="47"/>
      <c r="K185" s="47"/>
      <c r="M185" s="49"/>
      <c r="N185" s="49"/>
      <c r="O185" s="49"/>
      <c r="Q185" s="65"/>
      <c r="U185" s="49"/>
      <c r="X185" s="49"/>
      <c r="Y185" s="49"/>
      <c r="Z185" s="49"/>
      <c r="AA185" s="49"/>
      <c r="AB185" s="49"/>
      <c r="AC185" s="49"/>
      <c r="AD185" s="47"/>
    </row>
    <row r="186" spans="1:30" ht="12.75">
      <c r="A186" s="45"/>
      <c r="B186" s="45"/>
      <c r="C186" s="45"/>
      <c r="I186" s="47"/>
      <c r="J186" s="47"/>
      <c r="K186" s="47"/>
      <c r="M186" s="86"/>
      <c r="N186" s="49"/>
      <c r="O186" s="49"/>
      <c r="Q186" s="65"/>
      <c r="U186" s="49"/>
      <c r="X186" s="49"/>
      <c r="Y186" s="49"/>
      <c r="Z186" s="49"/>
      <c r="AA186" s="49"/>
      <c r="AB186" s="49"/>
      <c r="AC186" s="49"/>
      <c r="AD186" s="7"/>
    </row>
    <row r="187" spans="1:30" ht="12.75">
      <c r="A187" s="45"/>
      <c r="B187" s="45"/>
      <c r="C187" s="45"/>
      <c r="I187" s="47"/>
      <c r="J187" s="47"/>
      <c r="K187" s="47"/>
      <c r="M187" s="47"/>
      <c r="N187" s="49"/>
      <c r="O187" s="49"/>
      <c r="Q187" s="65"/>
      <c r="U187" s="49"/>
      <c r="X187" s="49"/>
      <c r="Y187" s="49"/>
      <c r="Z187" s="49"/>
      <c r="AA187" s="49"/>
      <c r="AB187" s="49"/>
      <c r="AC187" s="49"/>
      <c r="AD187" s="7"/>
    </row>
    <row r="188" spans="1:30" ht="12.75">
      <c r="A188" s="45"/>
      <c r="B188" s="45"/>
      <c r="C188" s="45"/>
      <c r="I188" s="47"/>
      <c r="J188" s="47"/>
      <c r="K188" s="47"/>
      <c r="M188" s="47"/>
      <c r="N188" s="49"/>
      <c r="O188" s="49"/>
      <c r="Q188" s="65"/>
      <c r="U188" s="49"/>
      <c r="X188" s="49"/>
      <c r="Y188" s="49"/>
      <c r="Z188" s="49"/>
      <c r="AA188" s="49"/>
      <c r="AB188" s="49"/>
      <c r="AC188" s="49"/>
      <c r="AD188" s="7"/>
    </row>
    <row r="189" spans="1:30" ht="12.75">
      <c r="A189" s="45"/>
      <c r="B189" s="45"/>
      <c r="C189" s="45"/>
      <c r="I189" s="47"/>
      <c r="J189" s="47"/>
      <c r="K189" s="47"/>
      <c r="M189" s="47"/>
      <c r="N189" s="49"/>
      <c r="O189" s="49"/>
      <c r="Q189" s="65"/>
      <c r="U189" s="49"/>
      <c r="X189" s="86"/>
      <c r="Y189" s="86"/>
      <c r="Z189" s="86"/>
      <c r="AA189" s="86"/>
      <c r="AB189" s="86"/>
      <c r="AD189" s="16"/>
    </row>
    <row r="190" spans="1:30" ht="12.75">
      <c r="A190" s="45"/>
      <c r="B190" s="45"/>
      <c r="C190" s="45"/>
      <c r="I190" s="47"/>
      <c r="J190" s="47"/>
      <c r="K190" s="47"/>
      <c r="M190" s="47"/>
      <c r="N190" s="49"/>
      <c r="O190" s="49"/>
      <c r="Q190" s="65"/>
      <c r="U190" s="49"/>
      <c r="X190" s="47"/>
      <c r="Y190" s="47"/>
      <c r="Z190" s="47"/>
      <c r="AA190" s="47"/>
      <c r="AB190" s="47"/>
      <c r="AC190" s="47"/>
      <c r="AD190" s="47"/>
    </row>
    <row r="191" spans="1:30" ht="12.75">
      <c r="A191" s="45"/>
      <c r="B191" s="45"/>
      <c r="C191" s="45"/>
      <c r="I191" s="47"/>
      <c r="J191" s="47"/>
      <c r="K191" s="47"/>
      <c r="M191" s="47"/>
      <c r="N191" s="49"/>
      <c r="O191" s="49"/>
      <c r="Q191" s="65"/>
      <c r="U191" s="49"/>
      <c r="X191" s="47"/>
      <c r="Y191" s="47"/>
      <c r="Z191" s="47"/>
      <c r="AA191" s="47"/>
      <c r="AB191" s="47"/>
      <c r="AC191" s="47"/>
      <c r="AD191" s="47"/>
    </row>
    <row r="192" spans="1:30" ht="12.75">
      <c r="A192" s="45"/>
      <c r="B192" s="45"/>
      <c r="C192" s="45"/>
      <c r="I192" s="86"/>
      <c r="J192" s="86"/>
      <c r="K192" s="86"/>
      <c r="M192" s="47"/>
      <c r="N192" s="86"/>
      <c r="O192" s="86"/>
      <c r="Q192" s="65"/>
      <c r="U192" s="86"/>
      <c r="X192" s="47"/>
      <c r="Y192" s="47"/>
      <c r="Z192" s="47"/>
      <c r="AA192" s="47"/>
      <c r="AB192" s="47"/>
      <c r="AC192" s="47"/>
      <c r="AD192" s="47"/>
    </row>
    <row r="193" spans="1:30" ht="12.75">
      <c r="A193" s="45"/>
      <c r="B193" s="45"/>
      <c r="C193" s="45"/>
      <c r="I193" s="47"/>
      <c r="J193" s="47"/>
      <c r="K193" s="47"/>
      <c r="M193" s="47"/>
      <c r="N193" s="47"/>
      <c r="O193" s="47"/>
      <c r="Q193" s="65"/>
      <c r="U193" s="47"/>
      <c r="X193" s="47"/>
      <c r="Y193" s="47"/>
      <c r="Z193" s="47"/>
      <c r="AA193" s="47"/>
      <c r="AB193" s="47"/>
      <c r="AC193" s="47"/>
      <c r="AD193" s="47"/>
    </row>
    <row r="194" spans="1:30" ht="12.75">
      <c r="A194" s="45"/>
      <c r="B194" s="45"/>
      <c r="C194" s="45"/>
      <c r="I194" s="47"/>
      <c r="J194" s="47"/>
      <c r="K194" s="47"/>
      <c r="M194" s="47"/>
      <c r="N194" s="47"/>
      <c r="O194" s="47"/>
      <c r="Q194" s="65"/>
      <c r="U194" s="47"/>
      <c r="X194" s="47"/>
      <c r="Y194" s="47"/>
      <c r="Z194" s="47"/>
      <c r="AA194" s="47"/>
      <c r="AB194" s="47"/>
      <c r="AC194" s="47"/>
      <c r="AD194" s="47"/>
    </row>
    <row r="195" spans="1:30" ht="12.75">
      <c r="A195" s="45"/>
      <c r="B195" s="45"/>
      <c r="C195" s="45"/>
      <c r="I195" s="47"/>
      <c r="J195" s="47"/>
      <c r="K195" s="47"/>
      <c r="M195" s="47"/>
      <c r="N195" s="47"/>
      <c r="O195" s="47"/>
      <c r="Q195" s="65"/>
      <c r="U195" s="47"/>
      <c r="X195" s="47"/>
      <c r="Y195" s="47"/>
      <c r="Z195" s="47"/>
      <c r="AA195" s="47"/>
      <c r="AB195" s="47"/>
      <c r="AC195" s="47"/>
      <c r="AD195" s="47"/>
    </row>
    <row r="196" spans="1:30" ht="12.75">
      <c r="A196" s="45"/>
      <c r="B196" s="45"/>
      <c r="C196" s="45"/>
      <c r="I196" s="47"/>
      <c r="J196" s="47"/>
      <c r="K196" s="47"/>
      <c r="M196" s="47"/>
      <c r="N196" s="47"/>
      <c r="O196" s="47"/>
      <c r="Q196" s="65"/>
      <c r="U196" s="47"/>
      <c r="X196" s="47"/>
      <c r="Y196" s="47"/>
      <c r="Z196" s="47"/>
      <c r="AA196" s="47"/>
      <c r="AB196" s="47"/>
      <c r="AC196" s="47"/>
      <c r="AD196" s="47"/>
    </row>
    <row r="197" spans="1:30" ht="12.75">
      <c r="A197" s="45"/>
      <c r="B197" s="45"/>
      <c r="C197" s="45"/>
      <c r="I197" s="47"/>
      <c r="J197" s="47"/>
      <c r="K197" s="47"/>
      <c r="M197" s="47"/>
      <c r="N197" s="47"/>
      <c r="O197" s="47"/>
      <c r="Q197" s="65"/>
      <c r="U197" s="47"/>
      <c r="X197" s="47"/>
      <c r="Y197" s="47"/>
      <c r="Z197" s="47"/>
      <c r="AA197" s="47"/>
      <c r="AB197" s="47"/>
      <c r="AC197" s="47"/>
      <c r="AD197" s="47"/>
    </row>
    <row r="198" spans="1:30" ht="12.75">
      <c r="A198" s="45"/>
      <c r="B198" s="45"/>
      <c r="C198" s="45"/>
      <c r="I198" s="47"/>
      <c r="J198" s="47"/>
      <c r="K198" s="47"/>
      <c r="M198" s="47"/>
      <c r="N198" s="47"/>
      <c r="O198" s="47"/>
      <c r="Q198" s="65"/>
      <c r="U198" s="47"/>
      <c r="X198" s="47"/>
      <c r="Y198" s="47"/>
      <c r="Z198" s="47"/>
      <c r="AA198" s="47"/>
      <c r="AB198" s="47"/>
      <c r="AC198" s="47"/>
      <c r="AD198" s="47"/>
    </row>
    <row r="199" spans="1:30" ht="12.75">
      <c r="A199" s="45"/>
      <c r="B199" s="45"/>
      <c r="C199" s="45"/>
      <c r="I199" s="47"/>
      <c r="J199" s="47"/>
      <c r="K199" s="47"/>
      <c r="M199" s="47"/>
      <c r="N199" s="47"/>
      <c r="O199" s="47"/>
      <c r="Q199" s="65"/>
      <c r="U199" s="47"/>
      <c r="X199" s="47"/>
      <c r="Y199" s="47"/>
      <c r="Z199" s="47"/>
      <c r="AA199" s="47"/>
      <c r="AB199" s="47"/>
      <c r="AC199" s="47"/>
      <c r="AD199" s="47"/>
    </row>
    <row r="200" spans="1:30" ht="12.75">
      <c r="A200" s="45"/>
      <c r="B200" s="45"/>
      <c r="C200" s="45"/>
      <c r="I200" s="47"/>
      <c r="J200" s="47"/>
      <c r="K200" s="47"/>
      <c r="M200" s="47"/>
      <c r="N200" s="47"/>
      <c r="O200" s="47"/>
      <c r="Q200" s="65"/>
      <c r="U200" s="47"/>
      <c r="X200" s="47"/>
      <c r="Y200" s="47"/>
      <c r="Z200" s="47"/>
      <c r="AA200" s="47"/>
      <c r="AB200" s="47"/>
      <c r="AC200" s="47"/>
      <c r="AD200" s="47"/>
    </row>
    <row r="201" spans="1:30" ht="12.75">
      <c r="A201" s="45"/>
      <c r="B201" s="45"/>
      <c r="C201" s="45"/>
      <c r="I201" s="47"/>
      <c r="J201" s="47"/>
      <c r="K201" s="47"/>
      <c r="M201" s="47"/>
      <c r="N201" s="47"/>
      <c r="O201" s="47"/>
      <c r="Q201" s="65"/>
      <c r="U201" s="47"/>
      <c r="X201" s="47"/>
      <c r="Y201" s="47"/>
      <c r="Z201" s="47"/>
      <c r="AA201" s="47"/>
      <c r="AB201" s="47"/>
      <c r="AC201" s="47"/>
      <c r="AD201" s="47"/>
    </row>
    <row r="202" spans="1:30" ht="12.75">
      <c r="A202" s="45"/>
      <c r="B202" s="45"/>
      <c r="C202" s="45"/>
      <c r="I202" s="47"/>
      <c r="J202" s="47"/>
      <c r="K202" s="47"/>
      <c r="M202" s="47"/>
      <c r="N202" s="47"/>
      <c r="O202" s="47"/>
      <c r="Q202" s="65"/>
      <c r="U202" s="47"/>
      <c r="X202" s="47"/>
      <c r="Y202" s="47"/>
      <c r="Z202" s="47"/>
      <c r="AA202" s="47"/>
      <c r="AB202" s="47"/>
      <c r="AC202" s="47"/>
      <c r="AD202" s="47"/>
    </row>
    <row r="203" spans="1:30" ht="12.75">
      <c r="A203" s="45"/>
      <c r="B203" s="45"/>
      <c r="C203" s="45"/>
      <c r="I203" s="47"/>
      <c r="J203" s="47"/>
      <c r="K203" s="47"/>
      <c r="M203" s="47"/>
      <c r="N203" s="47"/>
      <c r="O203" s="47"/>
      <c r="Q203" s="65"/>
      <c r="U203" s="47"/>
      <c r="X203" s="47"/>
      <c r="Y203" s="47"/>
      <c r="Z203" s="47"/>
      <c r="AA203" s="47"/>
      <c r="AB203" s="47"/>
      <c r="AC203" s="47"/>
      <c r="AD203" s="47"/>
    </row>
    <row r="204" spans="1:30" ht="12.75">
      <c r="A204" s="45"/>
      <c r="B204" s="45"/>
      <c r="C204" s="45"/>
      <c r="I204" s="47"/>
      <c r="J204" s="47"/>
      <c r="K204" s="47"/>
      <c r="M204" s="47"/>
      <c r="N204" s="47"/>
      <c r="O204" s="47"/>
      <c r="Q204" s="65"/>
      <c r="U204" s="47"/>
      <c r="X204" s="47"/>
      <c r="Y204" s="47"/>
      <c r="Z204" s="47"/>
      <c r="AA204" s="47"/>
      <c r="AB204" s="47"/>
      <c r="AC204" s="47"/>
      <c r="AD204" s="47"/>
    </row>
    <row r="205" spans="1:30" ht="12.75">
      <c r="A205" s="45"/>
      <c r="B205" s="45"/>
      <c r="C205" s="45"/>
      <c r="I205" s="47"/>
      <c r="J205" s="47"/>
      <c r="K205" s="47"/>
      <c r="M205" s="47"/>
      <c r="N205" s="47"/>
      <c r="O205" s="47"/>
      <c r="Q205" s="65"/>
      <c r="U205" s="47"/>
      <c r="X205" s="47"/>
      <c r="Y205" s="47"/>
      <c r="Z205" s="47"/>
      <c r="AA205" s="47"/>
      <c r="AB205" s="47"/>
      <c r="AC205" s="47"/>
      <c r="AD205" s="47"/>
    </row>
    <row r="206" spans="1:30" ht="12.75">
      <c r="A206" s="45"/>
      <c r="B206" s="45"/>
      <c r="C206" s="45"/>
      <c r="I206" s="47"/>
      <c r="J206" s="47"/>
      <c r="K206" s="47"/>
      <c r="M206" s="47"/>
      <c r="N206" s="47"/>
      <c r="O206" s="47"/>
      <c r="Q206" s="65"/>
      <c r="U206" s="47"/>
      <c r="X206" s="47"/>
      <c r="Y206" s="47"/>
      <c r="Z206" s="47"/>
      <c r="AA206" s="47"/>
      <c r="AB206" s="47"/>
      <c r="AC206" s="47"/>
      <c r="AD206" s="47"/>
    </row>
    <row r="207" spans="1:30" ht="12.75">
      <c r="A207" s="45"/>
      <c r="B207" s="45"/>
      <c r="C207" s="45"/>
      <c r="I207" s="47"/>
      <c r="J207" s="47"/>
      <c r="K207" s="47"/>
      <c r="M207" s="47"/>
      <c r="N207" s="47"/>
      <c r="O207" s="47"/>
      <c r="Q207" s="65"/>
      <c r="U207" s="47"/>
      <c r="X207" s="47"/>
      <c r="Y207" s="47"/>
      <c r="Z207" s="47"/>
      <c r="AA207" s="47"/>
      <c r="AB207" s="47"/>
      <c r="AC207" s="47"/>
      <c r="AD207" s="47"/>
    </row>
    <row r="208" spans="1:30" ht="12.75">
      <c r="A208" s="45"/>
      <c r="B208" s="45"/>
      <c r="C208" s="45"/>
      <c r="I208" s="47"/>
      <c r="J208" s="47"/>
      <c r="K208" s="47"/>
      <c r="M208" s="47"/>
      <c r="N208" s="47"/>
      <c r="O208" s="47"/>
      <c r="Q208" s="65"/>
      <c r="U208" s="47"/>
      <c r="X208" s="47"/>
      <c r="Y208" s="47"/>
      <c r="Z208" s="47"/>
      <c r="AA208" s="47"/>
      <c r="AB208" s="47"/>
      <c r="AC208" s="47"/>
      <c r="AD208" s="47"/>
    </row>
    <row r="209" spans="1:30" ht="12.75">
      <c r="A209" s="45"/>
      <c r="B209" s="45"/>
      <c r="C209" s="45"/>
      <c r="I209" s="47"/>
      <c r="J209" s="47"/>
      <c r="K209" s="47"/>
      <c r="M209" s="47"/>
      <c r="N209" s="47"/>
      <c r="O209" s="47"/>
      <c r="Q209" s="65"/>
      <c r="U209" s="47"/>
      <c r="X209" s="47"/>
      <c r="Y209" s="47"/>
      <c r="Z209" s="47"/>
      <c r="AA209" s="47"/>
      <c r="AB209" s="47"/>
      <c r="AC209" s="47"/>
      <c r="AD209" s="47"/>
    </row>
    <row r="210" spans="1:30" ht="12.75">
      <c r="A210" s="45"/>
      <c r="B210" s="45"/>
      <c r="C210" s="45"/>
      <c r="I210" s="47"/>
      <c r="J210" s="47"/>
      <c r="K210" s="47"/>
      <c r="M210" s="47"/>
      <c r="N210" s="47"/>
      <c r="O210" s="47"/>
      <c r="Q210" s="65"/>
      <c r="U210" s="47"/>
      <c r="X210" s="47"/>
      <c r="Y210" s="47"/>
      <c r="Z210" s="47"/>
      <c r="AA210" s="47"/>
      <c r="AB210" s="47"/>
      <c r="AC210" s="47"/>
      <c r="AD210" s="47"/>
    </row>
    <row r="211" spans="1:30" ht="12.75">
      <c r="A211" s="45"/>
      <c r="B211" s="45"/>
      <c r="C211" s="45"/>
      <c r="I211" s="47"/>
      <c r="J211" s="47"/>
      <c r="K211" s="47"/>
      <c r="M211" s="47"/>
      <c r="N211" s="47"/>
      <c r="O211" s="47"/>
      <c r="Q211" s="65"/>
      <c r="U211" s="47"/>
      <c r="X211" s="47"/>
      <c r="Y211" s="47"/>
      <c r="Z211" s="47"/>
      <c r="AA211" s="47"/>
      <c r="AB211" s="47"/>
      <c r="AC211" s="47"/>
      <c r="AD211" s="47"/>
    </row>
    <row r="212" spans="1:30" ht="12.75">
      <c r="A212" s="45"/>
      <c r="B212" s="45"/>
      <c r="C212" s="45"/>
      <c r="I212" s="47"/>
      <c r="J212" s="47"/>
      <c r="K212" s="47"/>
      <c r="M212" s="47"/>
      <c r="N212" s="47"/>
      <c r="O212" s="47"/>
      <c r="Q212" s="65"/>
      <c r="U212" s="47"/>
      <c r="X212" s="47"/>
      <c r="Y212" s="47"/>
      <c r="Z212" s="47"/>
      <c r="AA212" s="47"/>
      <c r="AB212" s="47"/>
      <c r="AC212" s="47"/>
      <c r="AD212" s="47"/>
    </row>
    <row r="213" spans="1:30" ht="12.75">
      <c r="A213" s="45"/>
      <c r="B213" s="45"/>
      <c r="C213" s="45"/>
      <c r="I213" s="47"/>
      <c r="J213" s="47"/>
      <c r="K213" s="47"/>
      <c r="M213" s="47"/>
      <c r="N213" s="47"/>
      <c r="O213" s="47"/>
      <c r="Q213" s="65"/>
      <c r="U213" s="47"/>
      <c r="X213" s="47"/>
      <c r="Y213" s="47"/>
      <c r="Z213" s="47"/>
      <c r="AA213" s="47"/>
      <c r="AB213" s="47"/>
      <c r="AC213" s="47"/>
      <c r="AD213" s="47"/>
    </row>
    <row r="214" spans="1:30" ht="12.75">
      <c r="A214" s="45"/>
      <c r="B214" s="45"/>
      <c r="C214" s="45"/>
      <c r="I214" s="47"/>
      <c r="J214" s="47"/>
      <c r="K214" s="47"/>
      <c r="M214" s="47"/>
      <c r="N214" s="47"/>
      <c r="O214" s="47"/>
      <c r="Q214" s="65"/>
      <c r="U214" s="47"/>
      <c r="X214" s="47"/>
      <c r="Y214" s="47"/>
      <c r="Z214" s="47"/>
      <c r="AA214" s="47"/>
      <c r="AB214" s="47"/>
      <c r="AC214" s="47"/>
      <c r="AD214" s="47"/>
    </row>
    <row r="215" spans="1:30" ht="12.75">
      <c r="A215" s="45"/>
      <c r="B215" s="45"/>
      <c r="C215" s="45"/>
      <c r="I215" s="47"/>
      <c r="J215" s="47"/>
      <c r="K215" s="47"/>
      <c r="M215" s="47"/>
      <c r="N215" s="47"/>
      <c r="O215" s="47"/>
      <c r="Q215" s="65"/>
      <c r="U215" s="47"/>
      <c r="X215" s="47"/>
      <c r="Y215" s="47"/>
      <c r="Z215" s="47"/>
      <c r="AA215" s="47"/>
      <c r="AB215" s="47"/>
      <c r="AC215" s="47"/>
      <c r="AD215" s="47"/>
    </row>
    <row r="216" spans="1:30" ht="12.75">
      <c r="A216" s="45"/>
      <c r="B216" s="45"/>
      <c r="C216" s="45"/>
      <c r="I216" s="47"/>
      <c r="J216" s="47"/>
      <c r="K216" s="47"/>
      <c r="M216" s="47"/>
      <c r="N216" s="47"/>
      <c r="O216" s="47"/>
      <c r="Q216" s="65"/>
      <c r="U216" s="47"/>
      <c r="X216" s="47"/>
      <c r="Y216" s="47"/>
      <c r="Z216" s="47"/>
      <c r="AA216" s="47"/>
      <c r="AB216" s="47"/>
      <c r="AC216" s="47"/>
      <c r="AD216" s="47"/>
    </row>
    <row r="217" spans="1:30" ht="12.75">
      <c r="A217" s="45"/>
      <c r="B217" s="45"/>
      <c r="C217" s="45"/>
      <c r="I217" s="47"/>
      <c r="J217" s="47"/>
      <c r="K217" s="47"/>
      <c r="M217" s="47"/>
      <c r="N217" s="47"/>
      <c r="O217" s="47"/>
      <c r="Q217" s="65"/>
      <c r="U217" s="47"/>
      <c r="X217" s="47"/>
      <c r="Y217" s="47"/>
      <c r="Z217" s="47"/>
      <c r="AA217" s="47"/>
      <c r="AB217" s="47"/>
      <c r="AC217" s="47"/>
      <c r="AD217" s="47"/>
    </row>
    <row r="218" spans="1:30" ht="12.75">
      <c r="A218" s="45"/>
      <c r="B218" s="45"/>
      <c r="C218" s="45"/>
      <c r="I218" s="47"/>
      <c r="J218" s="47"/>
      <c r="K218" s="47"/>
      <c r="M218" s="47"/>
      <c r="N218" s="47"/>
      <c r="O218" s="47"/>
      <c r="Q218" s="65"/>
      <c r="U218" s="47"/>
      <c r="X218" s="47"/>
      <c r="Y218" s="47"/>
      <c r="Z218" s="47"/>
      <c r="AA218" s="47"/>
      <c r="AB218" s="47"/>
      <c r="AC218" s="47"/>
      <c r="AD218" s="47"/>
    </row>
    <row r="219" spans="1:30" ht="12.75">
      <c r="A219" s="45"/>
      <c r="B219" s="45"/>
      <c r="C219" s="45"/>
      <c r="I219" s="47"/>
      <c r="J219" s="47"/>
      <c r="K219" s="47"/>
      <c r="M219" s="47"/>
      <c r="N219" s="47"/>
      <c r="O219" s="47"/>
      <c r="Q219" s="65"/>
      <c r="U219" s="47"/>
      <c r="X219" s="47"/>
      <c r="Y219" s="47"/>
      <c r="Z219" s="47"/>
      <c r="AA219" s="47"/>
      <c r="AB219" s="47"/>
      <c r="AC219" s="47"/>
      <c r="AD219" s="47"/>
    </row>
    <row r="220" spans="1:30" ht="12.75">
      <c r="A220" s="45"/>
      <c r="B220" s="45"/>
      <c r="C220" s="45"/>
      <c r="I220" s="47"/>
      <c r="J220" s="47"/>
      <c r="K220" s="47"/>
      <c r="M220" s="47"/>
      <c r="N220" s="47"/>
      <c r="O220" s="47"/>
      <c r="Q220" s="65"/>
      <c r="U220" s="47"/>
      <c r="X220" s="47"/>
      <c r="Y220" s="47"/>
      <c r="Z220" s="47"/>
      <c r="AA220" s="47"/>
      <c r="AB220" s="47"/>
      <c r="AC220" s="47"/>
      <c r="AD220" s="47"/>
    </row>
    <row r="221" spans="1:30" ht="12.75">
      <c r="A221" s="45"/>
      <c r="B221" s="45"/>
      <c r="C221" s="45"/>
      <c r="I221" s="47"/>
      <c r="J221" s="47"/>
      <c r="K221" s="47"/>
      <c r="M221" s="47"/>
      <c r="N221" s="47"/>
      <c r="O221" s="47"/>
      <c r="Q221" s="65"/>
      <c r="U221" s="47"/>
      <c r="X221" s="47"/>
      <c r="Y221" s="47"/>
      <c r="Z221" s="47"/>
      <c r="AA221" s="47"/>
      <c r="AB221" s="47"/>
      <c r="AC221" s="47"/>
      <c r="AD221" s="47"/>
    </row>
    <row r="222" spans="1:30" ht="12.75">
      <c r="A222" s="45"/>
      <c r="B222" s="45"/>
      <c r="C222" s="45"/>
      <c r="I222" s="47"/>
      <c r="J222" s="47"/>
      <c r="K222" s="47"/>
      <c r="M222" s="47"/>
      <c r="N222" s="47"/>
      <c r="O222" s="47"/>
      <c r="Q222" s="65"/>
      <c r="U222" s="47"/>
      <c r="X222" s="47"/>
      <c r="Y222" s="47"/>
      <c r="Z222" s="47"/>
      <c r="AA222" s="47"/>
      <c r="AB222" s="47"/>
      <c r="AC222" s="47"/>
      <c r="AD222" s="47"/>
    </row>
    <row r="223" spans="1:30" ht="12.75">
      <c r="A223" s="45"/>
      <c r="B223" s="45"/>
      <c r="C223" s="45"/>
      <c r="I223" s="47"/>
      <c r="J223" s="47"/>
      <c r="K223" s="47"/>
      <c r="M223" s="47"/>
      <c r="N223" s="47"/>
      <c r="O223" s="47"/>
      <c r="Q223" s="65"/>
      <c r="U223" s="47"/>
      <c r="X223" s="47"/>
      <c r="Y223" s="47"/>
      <c r="Z223" s="47"/>
      <c r="AA223" s="47"/>
      <c r="AB223" s="47"/>
      <c r="AC223" s="47"/>
      <c r="AD223" s="47"/>
    </row>
    <row r="224" spans="1:30" ht="12.75">
      <c r="A224" s="45"/>
      <c r="B224" s="45"/>
      <c r="C224" s="45"/>
      <c r="I224" s="47"/>
      <c r="J224" s="47"/>
      <c r="K224" s="47"/>
      <c r="M224" s="47"/>
      <c r="N224" s="47"/>
      <c r="O224" s="47"/>
      <c r="Q224" s="65"/>
      <c r="U224" s="47"/>
      <c r="X224" s="47"/>
      <c r="Y224" s="47"/>
      <c r="Z224" s="47"/>
      <c r="AA224" s="47"/>
      <c r="AB224" s="47"/>
      <c r="AC224" s="47"/>
      <c r="AD224" s="47"/>
    </row>
    <row r="225" spans="1:30" ht="12.75">
      <c r="A225" s="45"/>
      <c r="B225" s="45"/>
      <c r="C225" s="45"/>
      <c r="I225" s="47"/>
      <c r="J225" s="47"/>
      <c r="K225" s="47"/>
      <c r="M225" s="47"/>
      <c r="N225" s="47"/>
      <c r="O225" s="47"/>
      <c r="Q225" s="65"/>
      <c r="U225" s="47"/>
      <c r="X225" s="47"/>
      <c r="Y225" s="47"/>
      <c r="Z225" s="47"/>
      <c r="AA225" s="47"/>
      <c r="AB225" s="47"/>
      <c r="AC225" s="47"/>
      <c r="AD225" s="47"/>
    </row>
    <row r="226" spans="1:30" ht="12.75">
      <c r="A226" s="45"/>
      <c r="B226" s="45"/>
      <c r="C226" s="45"/>
      <c r="I226" s="47"/>
      <c r="J226" s="47"/>
      <c r="K226" s="47"/>
      <c r="M226" s="47"/>
      <c r="N226" s="47"/>
      <c r="O226" s="47"/>
      <c r="Q226" s="65"/>
      <c r="U226" s="47"/>
      <c r="X226" s="47"/>
      <c r="Y226" s="47"/>
      <c r="Z226" s="47"/>
      <c r="AA226" s="47"/>
      <c r="AB226" s="47"/>
      <c r="AC226" s="47"/>
      <c r="AD226" s="47"/>
    </row>
    <row r="227" spans="1:30" ht="12.75">
      <c r="A227" s="45"/>
      <c r="B227" s="45"/>
      <c r="C227" s="45"/>
      <c r="I227" s="47"/>
      <c r="J227" s="47"/>
      <c r="K227" s="47"/>
      <c r="M227" s="47"/>
      <c r="N227" s="47"/>
      <c r="O227" s="47"/>
      <c r="Q227" s="65"/>
      <c r="U227" s="47"/>
      <c r="X227" s="47"/>
      <c r="Y227" s="47"/>
      <c r="Z227" s="47"/>
      <c r="AA227" s="47"/>
      <c r="AB227" s="47"/>
      <c r="AC227" s="47"/>
      <c r="AD227" s="47"/>
    </row>
    <row r="228" spans="1:30" ht="12.75">
      <c r="A228" s="45"/>
      <c r="B228" s="45"/>
      <c r="C228" s="45"/>
      <c r="I228" s="47"/>
      <c r="J228" s="47"/>
      <c r="K228" s="47"/>
      <c r="M228" s="47"/>
      <c r="N228" s="47"/>
      <c r="O228" s="47"/>
      <c r="Q228" s="65"/>
      <c r="U228" s="47"/>
      <c r="X228" s="47"/>
      <c r="Y228" s="47"/>
      <c r="Z228" s="47"/>
      <c r="AA228" s="47"/>
      <c r="AB228" s="47"/>
      <c r="AC228" s="47"/>
      <c r="AD228" s="47"/>
    </row>
    <row r="229" spans="1:30" ht="12.75">
      <c r="A229" s="45"/>
      <c r="B229" s="45"/>
      <c r="C229" s="45"/>
      <c r="I229" s="47"/>
      <c r="J229" s="47"/>
      <c r="K229" s="47"/>
      <c r="N229" s="47"/>
      <c r="O229" s="47"/>
      <c r="Q229" s="65"/>
      <c r="U229" s="47"/>
      <c r="X229" s="47"/>
      <c r="Y229" s="47"/>
      <c r="Z229" s="47"/>
      <c r="AA229" s="47"/>
      <c r="AB229" s="47"/>
      <c r="AC229" s="47"/>
      <c r="AD229" s="47"/>
    </row>
    <row r="230" spans="1:30" ht="12.75">
      <c r="A230" s="45"/>
      <c r="B230" s="45"/>
      <c r="C230" s="45"/>
      <c r="I230" s="47"/>
      <c r="J230" s="47"/>
      <c r="K230" s="47"/>
      <c r="N230" s="47"/>
      <c r="O230" s="47"/>
      <c r="Q230" s="65"/>
      <c r="U230" s="47"/>
      <c r="X230" s="47"/>
      <c r="Y230" s="47"/>
      <c r="Z230" s="47"/>
      <c r="AA230" s="47"/>
      <c r="AB230" s="47"/>
      <c r="AC230" s="47"/>
      <c r="AD230" s="47"/>
    </row>
    <row r="231" spans="1:30" ht="12.75">
      <c r="A231" s="45"/>
      <c r="B231" s="45"/>
      <c r="C231" s="45"/>
      <c r="I231" s="47"/>
      <c r="J231" s="47"/>
      <c r="K231" s="47"/>
      <c r="N231" s="47"/>
      <c r="O231" s="47"/>
      <c r="Q231" s="65"/>
      <c r="U231" s="47"/>
      <c r="X231" s="47"/>
      <c r="Y231" s="47"/>
      <c r="Z231" s="47"/>
      <c r="AA231" s="47"/>
      <c r="AB231" s="47"/>
      <c r="AC231" s="47"/>
      <c r="AD231" s="47"/>
    </row>
    <row r="232" spans="1:30" ht="12.75">
      <c r="A232" s="45"/>
      <c r="B232" s="45"/>
      <c r="C232" s="45"/>
      <c r="I232" s="47"/>
      <c r="J232" s="47"/>
      <c r="K232" s="47"/>
      <c r="N232" s="47"/>
      <c r="O232" s="47"/>
      <c r="Q232" s="65"/>
      <c r="U232" s="47"/>
    </row>
    <row r="233" spans="1:30" ht="12.75">
      <c r="A233" s="45"/>
      <c r="B233" s="45"/>
      <c r="C233" s="45"/>
      <c r="I233" s="47"/>
      <c r="J233" s="47"/>
      <c r="K233" s="47"/>
      <c r="N233" s="47"/>
      <c r="O233" s="47"/>
      <c r="Q233" s="65"/>
      <c r="U233" s="47"/>
    </row>
    <row r="234" spans="1:30" ht="12.75">
      <c r="A234" s="45"/>
      <c r="B234" s="45"/>
      <c r="C234" s="45"/>
      <c r="I234" s="47"/>
      <c r="J234" s="47"/>
      <c r="K234" s="47"/>
      <c r="N234" s="47"/>
      <c r="O234" s="47"/>
      <c r="Q234" s="65"/>
      <c r="U234" s="47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2" activePane="bottomLeft" state="frozen"/>
      <selection pane="bottomLeft" activeCell="C99" sqref="C99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 hidden="1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 hidden="1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 hidden="1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 hidden="1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 hidden="1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 hidden="1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 hidden="1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 hidden="1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 hidden="1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 hidden="1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 hidden="1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 hidden="1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 hidden="1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 hidden="1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 hidden="1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 hidden="1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 hidden="1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 hidden="1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 hidden="1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 hidden="1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 hidden="1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 hidden="1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 hidden="1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 hidden="1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 hidden="1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 hidden="1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 hidden="1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 hidden="1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 hidden="1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 hidden="1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 hidden="1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 hidden="1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 hidden="1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 hidden="1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 hidden="1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 hidden="1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 hidden="1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 hidden="1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 hidden="1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 hidden="1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 hidden="1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 hidden="1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 hidden="1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 hidden="1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 hidden="1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 hidden="1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 hidden="1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 hidden="1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 hidden="1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 hidden="1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 hidden="1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 hidden="1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 hidden="1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 hidden="1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 hidden="1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 hidden="1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 hidden="1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 hidden="1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 hidden="1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 hidden="1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 hidden="1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 hidden="1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 hidden="1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 hidden="1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 hidden="1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 hidden="1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 hidden="1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 hidden="1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 hidden="1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 hidden="1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 hidden="1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 hidden="1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 hidden="1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 hidden="1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 hidden="1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 hidden="1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 hidden="1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 hidden="1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 hidden="1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52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str" cm="1">
        <f t="array" ref="A3:A52">_xlfn.UNIQUE(_xlfn._xlws.SORT((HearingAids[haModel])))</f>
        <v>Beltone BTE Digital Boost Max S 17 95-DWHC</v>
      </c>
      <c r="B3" t="str" cm="1">
        <f t="array" ref="B3:B23">_xlfn.UNIQUE(_xlfn._xlws.SORT(_xlfn._xlws.FILTER(HearingAids[Discount Type 2], HearingAids[Discount Type 2]&lt;&gt;"")))</f>
        <v>&lt;none&gt;</v>
      </c>
      <c r="C3" t="s">
        <v>634</v>
      </c>
    </row>
    <row r="4" spans="1:5">
      <c r="A4" t="str">
        <v>Beltone BTE Digital Boost Max S 4 95-DWHC</v>
      </c>
      <c r="B4" t="str">
        <v>Amplifon Competitive</v>
      </c>
      <c r="C4" t="s">
        <v>635</v>
      </c>
    </row>
    <row r="5" spans="1:5">
      <c r="A5" t="str">
        <v>Beltone BTE Digital Boost Max S 6 95-DWHC</v>
      </c>
      <c r="B5" t="str">
        <v>BCBS Blue365 Member</v>
      </c>
      <c r="C5" t="s">
        <v>636</v>
      </c>
    </row>
    <row r="6" spans="1:5">
      <c r="A6" t="str">
        <v>Beltone BTE Digital Boost Max S 9 95-DWHC</v>
      </c>
      <c r="B6" t="str">
        <v>Early Lease Upgrade</v>
      </c>
      <c r="C6" t="s">
        <v>637</v>
      </c>
    </row>
    <row r="7" spans="1:5">
      <c r="A7" t="str">
        <v>Beltone BTE Digital Boost Ultra 17 86DWHT</v>
      </c>
      <c r="B7" t="str">
        <v>Envision 17 Special</v>
      </c>
      <c r="C7" t="s">
        <v>20</v>
      </c>
    </row>
    <row r="8" spans="1:5">
      <c r="A8" t="str">
        <v>Beltone BTE Digital Boost Ultra 17 95DWT</v>
      </c>
      <c r="B8" t="str">
        <v>Envision 6 Special</v>
      </c>
    </row>
    <row r="9" spans="1:5">
      <c r="A9" t="str">
        <v>Beltone BTE Digital Boost Ultra 6 86DWHT</v>
      </c>
      <c r="B9" t="str">
        <v>Envision 9 Special</v>
      </c>
    </row>
    <row r="10" spans="1:5">
      <c r="A10" t="str">
        <v>Beltone BTE Digital Boost Ultra 6 95DWT</v>
      </c>
      <c r="B10" t="str">
        <v>Fast Funding</v>
      </c>
    </row>
    <row r="11" spans="1:5">
      <c r="A11" t="str">
        <v>Beltone BTE Digital Boost Ultra 9 86DWHT</v>
      </c>
      <c r="B11" t="str">
        <v>GHB/BCBS Competitive</v>
      </c>
    </row>
    <row r="12" spans="1:5">
      <c r="A12" t="str">
        <v>Beltone BTE Digital Boost Ultra 9 95DWT</v>
      </c>
      <c r="B12" t="str">
        <v>HCS Competitive</v>
      </c>
    </row>
    <row r="13" spans="1:5">
      <c r="A13" t="str">
        <v>Beltone BTE Digital Rely 2 66DW</v>
      </c>
      <c r="B13" t="str">
        <v>HearUSA Competitive</v>
      </c>
    </row>
    <row r="14" spans="1:5">
      <c r="A14" t="str">
        <v>Beltone BTE Digital Rely 2 76DW</v>
      </c>
      <c r="B14" t="str">
        <v>Humana</v>
      </c>
    </row>
    <row r="15" spans="1:5">
      <c r="A15" t="str">
        <v>Beltone BTE Digital Rely 2 86DWH</v>
      </c>
      <c r="B15" t="str">
        <v>Marketing Offer</v>
      </c>
    </row>
    <row r="16" spans="1:5">
      <c r="A16" t="str">
        <v>Beltone BTE Digital Rely 2 95DW</v>
      </c>
      <c r="B16" t="str">
        <v>Martins Point Competitive</v>
      </c>
    </row>
    <row r="17" spans="1:2">
      <c r="A17" t="str">
        <v>Beltone BTE Digital Rely 3 66DW</v>
      </c>
      <c r="B17" t="str">
        <v>Nations Hearing Competitive</v>
      </c>
    </row>
    <row r="18" spans="1:2">
      <c r="A18" t="str">
        <v>Beltone BTE Digital Rely 3 76DW</v>
      </c>
      <c r="B18" t="str">
        <v>Open House Special</v>
      </c>
    </row>
    <row r="19" spans="1:2">
      <c r="A19" t="str">
        <v>Beltone BTE Digital Rely 3 86DWH</v>
      </c>
      <c r="B19" t="str">
        <v>Tri-Care</v>
      </c>
    </row>
    <row r="20" spans="1:2">
      <c r="A20" t="str">
        <v>Beltone BTE Digital Rely 3 95DW</v>
      </c>
      <c r="B20" t="str">
        <v>TruHearing Competitive</v>
      </c>
    </row>
    <row r="21" spans="1:2">
      <c r="A21" t="str">
        <v>Beltone BTE Digital Rely 4 66DW</v>
      </c>
      <c r="B21" t="str">
        <v>UHCH Competitive</v>
      </c>
    </row>
    <row r="22" spans="1:2">
      <c r="A22" t="str">
        <v>Beltone BTE Digital Rely 4 76DW</v>
      </c>
      <c r="B22" t="str">
        <v>Veterans Discount</v>
      </c>
    </row>
    <row r="23" spans="1:2">
      <c r="A23" t="str">
        <v>Beltone BTE Digital Rely 4 86DWH</v>
      </c>
      <c r="B23" t="str">
        <v>WellCare Competitive</v>
      </c>
    </row>
    <row r="24" spans="1:2">
      <c r="A24" t="str">
        <v>Beltone BTE Digital Rely 4 95DW</v>
      </c>
    </row>
    <row r="25" spans="1:2">
      <c r="A25" t="str">
        <v>Beltone CIC Digital Rely 3</v>
      </c>
    </row>
    <row r="26" spans="1:2">
      <c r="A26" t="str">
        <v>Beltone CIC Digital Rely 4</v>
      </c>
    </row>
    <row r="27" spans="1:2">
      <c r="A27" t="str">
        <v>Beltone ITC Digital Rely 2</v>
      </c>
    </row>
    <row r="28" spans="1:2">
      <c r="A28" t="str">
        <v>Beltone ITC Digital Rely 3</v>
      </c>
    </row>
    <row r="29" spans="1:2">
      <c r="A29" t="str">
        <v>Beltone ITC Digital Rely 4</v>
      </c>
    </row>
    <row r="30" spans="1:2">
      <c r="A30" t="str">
        <v>Beltone ITE Digital Rely 2</v>
      </c>
    </row>
    <row r="31" spans="1:2">
      <c r="A31" t="str">
        <v>Beltone ITE Digital Rely 3</v>
      </c>
    </row>
    <row r="32" spans="1:2">
      <c r="A32" t="str">
        <v>Beltone ITE Digital Rely 4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  <row r="49" spans="1:1">
      <c r="A49" t="str">
        <v>Beltone RIE Digital XC 4 61DRWC</v>
      </c>
    </row>
    <row r="50" spans="1:1">
      <c r="A50" t="str">
        <v>Beltone RIE Digital XF 5 60SDRWC</v>
      </c>
    </row>
    <row r="51" spans="1:1">
      <c r="A51" t="str">
        <v>Beltone RIE Digital XF 7 60SDRWC</v>
      </c>
    </row>
    <row r="52" spans="1:1">
      <c r="A52" t="str">
        <v>Beltone RIE Digital XF 9 60SDRWC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Djavan Gomes</cp:lastModifiedBy>
  <cp:revision/>
  <dcterms:created xsi:type="dcterms:W3CDTF">2022-02-28T17:51:21Z</dcterms:created>
  <dcterms:modified xsi:type="dcterms:W3CDTF">2026-08-25T17:19:31Z</dcterms:modified>
  <cp:category/>
  <cp:contentStatus/>
</cp:coreProperties>
</file>