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23" documentId="8_{964C585B-190F-46EC-9553-F8D486DF59FA}" xr6:coauthVersionLast="47" xr6:coauthVersionMax="47" xr10:uidLastSave="{AEF27484-3357-46D0-9ED8-8864CA640FCE}"/>
  <bookViews>
    <workbookView xWindow="-108" yWindow="-108" windowWidth="23256" windowHeight="12456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2" i="1" l="1"/>
  <c r="K162" i="1" s="1"/>
  <c r="F162" i="1"/>
  <c r="C162" i="1"/>
  <c r="G161" i="1"/>
  <c r="K161" i="1" s="1"/>
  <c r="F161" i="1"/>
  <c r="C161" i="1"/>
  <c r="N157" i="1"/>
  <c r="N158" i="1"/>
  <c r="N159" i="1"/>
  <c r="N160" i="1"/>
  <c r="F160" i="1"/>
  <c r="J160" i="1" s="1"/>
  <c r="C160" i="1"/>
  <c r="F159" i="1"/>
  <c r="J159" i="1" s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G159" i="1" l="1"/>
  <c r="K159" i="1" s="1"/>
  <c r="O159" i="1" s="1"/>
  <c r="G157" i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K5" i="1" s="1"/>
  <c r="C28" i="2" a="1"/>
  <c r="C28" i="2" s="1"/>
  <c r="C145" i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3" i="1" l="1"/>
  <c r="K153" i="1" s="1"/>
  <c r="N153" i="1" s="1"/>
  <c r="G155" i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 s="1"/>
  <c r="N146" i="1" s="1"/>
  <c r="N149" i="1"/>
  <c r="O149" i="1"/>
  <c r="N148" i="1"/>
  <c r="O148" i="1" s="1"/>
  <c r="N147" i="1"/>
  <c r="O147" i="1" s="1"/>
  <c r="J145" i="1"/>
  <c r="K145" i="1" s="1"/>
  <c r="N145" i="1" s="1"/>
  <c r="O150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3" i="1" l="1"/>
  <c r="K154" i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<sst xmlns="http://schemas.openxmlformats.org/spreadsheetml/2006/main" count="2856" uniqueCount="629">
  <si>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</si>
  <si>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</si>
  <si>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</si>
  <si>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</si>
  <si>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</si>
  <si>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</si>
  <si>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</si>
  <si>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</si>
  <si>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</si>
  <si>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</si>
  <si>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</si>
  <si>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</si>
  <si>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</si>
  <si>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</si>
  <si>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</si>
  <si>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</si>
  <si>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</si>
  <si>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</si>
  <si>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</si>
  <si>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</si>
  <si>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</si>
  <si>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</si>
  <si>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</si>
  <si>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</si>
  <si>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</si>
  <si>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</si>
  <si>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</si>
  <si>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</si>
  <si>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</si>
  <si>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</si>
  <si>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</si>
  <si>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</si>
  <si>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</si>
  <si>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</si>
  <si>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</si>
  <si>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</si>
  <si>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</si>
  <si>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</si>
  <si>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</si>
  <si>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</si>
  <si>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</si>
  <si>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</si>
  <si>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</si>
  <si>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</si>
  <si>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</si>
  <si>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</si>
  <si>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</si>
  <si>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</si>
  <si>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</si>
  <si>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</si>
  <si>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</si>
  <si>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</si>
  <si>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</si>
  <si>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</si>
  <si>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</si>
  <si>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</si>
  <si>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</si>
  <si>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</si>
  <si>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</si>
  <si>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</si>
  <si>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</si>
  <si>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</si>
  <si>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</si>
  <si>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</si>
  <si>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</si>
  <si>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</si>
  <si>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</si>
  <si>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</si>
  <si>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</si>
  <si>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</si>
  <si>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</si>
  <si>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</si>
  <si>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</si>
  <si>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</si>
  <si>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</si>
  <si>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</si>
  <si>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</si>
  <si>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</si>
  <si>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</si>
  <si>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</si>
  <si>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</si>
  <si>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</si>
  <si>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</si>
  <si>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</si>
  <si>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</si>
  <si>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</si>
  <si>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</si>
  <si>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</si>
  <si>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</si>
  <si>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</si>
  <si>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</si>
  <si>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</si>
  <si>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</si>
  <si>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</si>
  <si>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</si>
  <si>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</si>
  <si>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</si>
  <si>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</si>
  <si>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</si>
  <si>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</si>
  <si>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</si>
  <si>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</si>
  <si>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</si>
  <si>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</si>
  <si>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</si>
  <si>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</si>
  <si>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</si>
  <si>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</si>
  <si>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</si>
  <si>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</si>
  <si>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</si>
  <si>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</si>
  <si>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</si>
  <si>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</si>
  <si>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</si>
  <si>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</si>
  <si>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</si>
  <si>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</si>
  <si>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</si>
  <si>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</si>
  <si>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</si>
  <si>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</si>
  <si>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</si>
  <si>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</si>
  <si>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</si>
  <si>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</si>
  <si>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</si>
  <si>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</si>
  <si>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</si>
  <si>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</si>
  <si>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</si>
  <si>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</si>
  <si>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</si>
  <si>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</si>
  <si>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</si>
  <si>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</si>
  <si>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</si>
  <si>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</si>
  <si>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</si>
  <si>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</si>
  <si>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</si>
  <si>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</si>
  <si>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</si>
  <si>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</si>
  <si>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</si>
  <si>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</si>
  <si>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</si>
  <si>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</si>
  <si>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</si>
  <si>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</si>
  <si>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</si>
  <si>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</si>
  <si>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</si>
  <si>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</si>
  <si>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</si>
  <si>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</si>
  <si>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</si>
  <si>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</si>
  <si>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</si>
  <si>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</si>
  <si>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</si>
  <si>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</si>
  <si>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</si>
  <si>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</si>
  <si>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</si>
  <si>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</si>
  <si>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</si>
  <si>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</si>
  <si>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</si>
  <si>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</si>
  <si>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</si>
  <si>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</si>
  <si>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</si>
  <si>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</si>
  <si>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</si>
  <si>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</si>
  <si>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</si>
  <si>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</si>
  <si>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</si>
  <si>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</si>
  <si>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</si>
  <si>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</si>
  <si>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</si>
  <si>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</si>
  <si>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</si>
  <si>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</si>
  <si>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</si>
  <si>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</si>
  <si>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</si>
  <si>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</si>
  <si>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</si>
  <si>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</si>
  <si>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</si>
  <si>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</si>
  <si>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</si>
  <si>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</si>
  <si>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</si>
  <si>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</si>
  <si>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</si>
  <si>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</si>
  <si>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</si>
  <si>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</si>
  <si>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</si>
  <si>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</si>
  <si>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</si>
  <si>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</si>
  <si>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</si>
  <si>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</si>
  <si>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</si>
  <si>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</si>
  <si>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</si>
  <si>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</si>
  <si>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</si>
  <si>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</si>
  <si>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</si>
  <si>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</si>
  <si>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</si>
  <si>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</si>
  <si>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</si>
  <si>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</si>
  <si>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</si>
  <si>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</si>
  <si>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</si>
  <si>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</si>
  <si>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</si>
  <si>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</si>
  <si>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</si>
  <si>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</si>
  <si>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</si>
  <si>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</si>
  <si>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</si>
  <si>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</si>
  <si>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</si>
  <si>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</si>
  <si>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</si>
  <si>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</si>
  <si>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</si>
  <si>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</si>
  <si>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</si>
  <si>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</si>
  <si>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</si>
  <si>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</si>
  <si>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</si>
  <si>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</si>
  <si>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</si>
  <si>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</si>
  <si>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</si>
  <si>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</si>
  <si>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</si>
  <si>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</si>
  <si>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</si>
  <si>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</si>
  <si>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</si>
  <si>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</si>
  <si>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</si>
  <si>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</si>
  <si>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</si>
  <si>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</si>
  <si>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</si>
  <si>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</si>
  <si>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</si>
  <si>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</si>
  <si>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</si>
  <si>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</si>
  <si>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</si>
  <si>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</si>
  <si>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</si>
  <si>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</si>
  <si>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</si>
  <si>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</si>
  <si>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</si>
  <si>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</si>
  <si>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</si>
  <si>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</si>
  <si>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</si>
  <si>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</si>
  <si>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</si>
  <si>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</si>
  <si>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</si>
  <si>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</si>
  <si>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</si>
  <si>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</si>
  <si>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</si>
  <si>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</si>
  <si>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</si>
  <si>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</si>
  <si>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</si>
  <si>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</si>
  <si>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</si>
  <si>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</si>
  <si>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</si>
  <si>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</si>
  <si>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</si>
  <si>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</si>
  <si>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</si>
  <si>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</si>
  <si>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</si>
  <si>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</si>
  <si>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</si>
  <si>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</si>
  <si>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</si>
  <si>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</si>
  <si>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</si>
  <si>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</si>
  <si>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</si>
  <si>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</si>
  <si>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</si>
  <si>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</si>
  <si>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</si>
  <si>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</si>
  <si>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</si>
  <si>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</si>
  <si>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</si>
  <si>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</si>
  <si>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</si>
  <si>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</si>
  <si>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</si>
  <si>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</si>
  <si>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</si>
  <si>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</si>
  <si>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</si>
  <si>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</si>
  <si>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</si>
  <si>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</si>
  <si>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</si>
  <si>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</si>
  <si>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</si>
  <si>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</si>
  <si>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</si>
  <si>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</si>
  <si>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</si>
  <si>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</si>
  <si>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</si>
  <si>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</si>
  <si>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</si>
  <si>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</si>
  <si>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</si>
  <si>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</si>
  <si>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</si>
  <si>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</si>
  <si>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</si>
  <si>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</si>
  <si>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</si>
  <si>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</si>
  <si>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</si>
  <si>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</si>
  <si>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</si>
  <si>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</si>
  <si>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</si>
  <si>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</si>
  <si>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</si>
  <si>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</si>
  <si>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</si>
  <si>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</si>
  <si>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</si>
  <si>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</si>
  <si>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</si>
  <si>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</si>
  <si>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</si>
  <si>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</si>
  <si>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</si>
  <si>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</si>
  <si>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</si>
  <si>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</si>
  <si>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</si>
  <si>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</si>
  <si>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</si>
  <si>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</si>
  <si>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</si>
  <si>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</si>
  <si>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</si>
  <si>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</si>
  <si>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</si>
  <si>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</si>
  <si>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</si>
  <si>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</si>
  <si>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</si>
  <si>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</si>
  <si>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</si>
  <si>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</si>
  <si>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</si>
  <si>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</si>
  <si>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</si>
  <si>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</si>
  <si>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</si>
  <si>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</si>
  <si>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</si>
  <si>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</si>
  <si>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</si>
  <si>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</si>
  <si>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</si>
  <si>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</si>
  <si>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</si>
  <si>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</si>
  <si>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</si>
  <si>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</si>
  <si>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</si>
  <si>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</si>
  <si>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</si>
  <si>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</si>
  <si>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</si>
  <si>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</si>
  <si>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</si>
  <si>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</si>
  <si>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</si>
  <si>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</si>
  <si>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</si>
  <si>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</si>
  <si>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</si>
  <si>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</si>
  <si>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</si>
  <si>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</si>
  <si>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</si>
  <si>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</si>
  <si>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</si>
  <si>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</si>
  <si>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</si>
  <si>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</si>
  <si>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</si>
  <si>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</si>
  <si>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</si>
  <si>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</si>
  <si>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</si>
  <si>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</si>
  <si>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</si>
  <si>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</si>
  <si>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</si>
  <si>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</si>
  <si>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</si>
  <si>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</si>
  <si>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</si>
  <si>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</si>
  <si>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</si>
  <si>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</si>
  <si>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</si>
  <si>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</si>
  <si>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</si>
  <si>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</si>
  <si>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</si>
  <si>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</si>
  <si>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</si>
  <si>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</si>
  <si>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</si>
  <si>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</si>
  <si>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</si>
  <si>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</si>
  <si>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</si>
  <si>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</si>
  <si>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</si>
  <si>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</si>
  <si>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</si>
  <si>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</si>
  <si>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</si>
  <si>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</si>
  <si>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</si>
  <si>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</si>
  <si>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</si>
  <si>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</si>
  <si>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</si>
  <si>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</si>
  <si>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</si>
  <si>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</si>
  <si>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</si>
  <si>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</si>
  <si>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</si>
  <si>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</si>
  <si>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</si>
  <si>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</si>
  <si>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</si>
  <si>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</si>
  <si>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</si>
  <si>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</si>
  <si>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</si>
  <si>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</si>
  <si>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</si>
  <si>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</si>
  <si>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</si>
  <si>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</si>
  <si>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</si>
  <si>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</si>
  <si>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</si>
  <si>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</si>
  <si>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</si>
  <si>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</si>
  <si>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</si>
  <si>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</si>
  <si>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</si>
  <si>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</si>
  <si>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</si>
  <si>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</si>
  <si>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</si>
  <si>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</si>
  <si>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</si>
  <si>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</si>
  <si>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</si>
  <si>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</si>
  <si>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</si>
  <si>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</si>
  <si>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</si>
  <si>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</si>
  <si>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</si>
  <si>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</si>
  <si>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</si>
  <si>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</si>
  <si>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</si>
  <si>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</si>
  <si>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</si>
  <si>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</si>
  <si>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</si>
  <si>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</si>
  <si>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</si>
  <si>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</si>
  <si>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</si>
  <si>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</si>
  <si>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</si>
  <si>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</si>
  <si>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</si>
  <si>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</si>
  <si>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</si>
  <si>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</si>
  <si>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</si>
  <si>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</si>
  <si>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</si>
  <si>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</si>
  <si>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</si>
  <si>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</si>
  <si>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</si>
  <si>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</si>
  <si>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</si>
  <si>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</si>
  <si>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</si>
  <si>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</si>
  <si>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</si>
  <si>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</si>
  <si>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</si>
  <si>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</si>
  <si>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</si>
  <si>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</si>
  <si>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</si>
  <si>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</si>
  <si>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</si>
  <si>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</si>
  <si>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</si>
  <si>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</si>
  <si>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</si>
  <si>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</si>
  <si>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</si>
  <si>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</si>
  <si>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</si>
  <si>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</si>
  <si>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</si>
  <si>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</si>
  <si>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</si>
  <si>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</si>
  <si>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</si>
  <si>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</si>
  <si>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</si>
  <si>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</si>
  <si>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</si>
  <si>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</si>
  <si>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</si>
  <si>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</si>
  <si>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</si>
  <si>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</si>
  <si>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</si>
  <si>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</si>
  <si>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</si>
  <si>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</si>
  <si>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</si>
  <si>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</si>
  <si>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</si>
  <si>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</si>
  <si>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</si>
  <si>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</si>
  <si>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</si>
  <si>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</si>
  <si>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</si>
  <si>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</si>
  <si>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</si>
  <si>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</si>
  <si>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</si>
  <si>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</si>
  <si>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</si>
  <si>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</si>
  <si>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</si>
  <si>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</si>
  <si>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</si>
  <si>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</si>
  <si>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</si>
  <si>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</si>
  <si>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</si>
  <si>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</si>
  <si>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</si>
  <si>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</si>
  <si>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</si>
  <si>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</si>
  <si>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</si>
  <si>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</si>
  <si>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</si>
  <si>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</si>
  <si>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</si>
  <si>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</si>
  <si>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</si>
  <si>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</si>
  <si>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</si>
  <si>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</si>
  <si>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</si>
  <si>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</si>
  <si>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</si>
  <si>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</si>
  <si>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</si>
  <si>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</si>
  <si>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</si>
  <si>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</si>
  <si>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</si>
  <si>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</si>
  <si>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</si>
  <si>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</si>
  <si>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</si>
  <si>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</si>
  <si>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</si>
  <si>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</si>
  <si>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</si>
  <si>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</si>
  <si>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</si>
  <si>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</si>
  <si>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</si>
  <si>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</si>
  <si>
    <t>Thanksgiving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</si>
</sst>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35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22" fillId="0" borderId="0" xfId="1" applyFont="1" applyFill="1" applyAlignment="1">
      <alignment horizontal="center"/>
    </xf>
    <xf numFmtId="43" fontId="22" fillId="0" borderId="0" xfId="1" applyFont="1" applyFill="1" applyBorder="1" applyAlignment="1">
      <alignment horizontal="center"/>
    </xf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Fill="1"/>
    <xf numFmtId="0" fontId="1" fillId="0" borderId="0" xfId="0" applyFont="1" applyAlignment="1"/>
    <xf numFmtId="43" fontId="1" fillId="0" borderId="0" xfId="1" applyNumberFormat="1" applyFont="1" applyFill="1"/>
    <xf numFmtId="43" fontId="1" fillId="0" borderId="0" xfId="1" applyNumberFormat="1" applyFont="1" applyFill="1" applyBorder="1"/>
    <xf numFmtId="43" fontId="1" fillId="0" borderId="0" xfId="1" applyFont="1" applyFill="1" applyBorder="1" applyAlignment="1">
      <alignment horizontal="center"/>
    </xf>
    <xf numFmtId="43" fontId="1" fillId="0" borderId="0" xfId="1" applyNumberFormat="1" applyFon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2" totalsRowShown="0" headerRowDxfId="59" dataDxfId="58">
  <autoFilter ref="A1:V162" xr:uid="{0EDF487B-BC6A-43CC-A5E2-F07346E1A4ED}"/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25" defaultRowHeight="13.2"/>
  <cols>
    <col min="1" max="1" width="36.125" style="73" customWidth="1"/>
    <col min="2" max="2" width="16.625" style="73" customWidth="1"/>
    <col min="3" max="3" width="22" style="73" customWidth="1"/>
    <col min="4" max="5" width="19.25" style="73" customWidth="1"/>
    <col min="6" max="6" width="38.25" style="73" bestFit="1" customWidth="1"/>
    <col min="7" max="7" width="18.125" style="73" customWidth="1"/>
    <col min="8" max="16384" width="9.125" style="73"/>
  </cols>
  <sheetData>
    <row r="2" spans="1:8" ht="13.8" thickBot="1"/>
    <row r="3" spans="1:8" ht="13.8" thickBot="1">
      <c r="A3" s="74" t="s">
        <v>586</v>
      </c>
      <c r="B3" s="127" t="s">
        <v>499</v>
      </c>
      <c r="C3" s="128"/>
    </row>
    <row r="4" spans="1:8" ht="13.8" thickBot="1">
      <c r="A4" s="74"/>
    </row>
    <row r="5" spans="1:8" ht="13.8" thickBot="1">
      <c r="A5" s="74" t="s">
        <v>0</v>
      </c>
      <c r="B5" s="127">
        <v>2</v>
      </c>
      <c r="C5" s="128"/>
    </row>
    <row r="6" spans="1:8" ht="13.8" thickBot="1">
      <c r="A6" s="74"/>
      <c r="G6" s="75"/>
      <c r="H6" s="76"/>
    </row>
    <row r="7" spans="1:8" ht="13.8" thickBot="1">
      <c r="A7" s="74" t="s">
        <v>61</v>
      </c>
      <c r="B7" s="127" t="s">
        <v>597</v>
      </c>
      <c r="C7" s="128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8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3029</v>
      </c>
      <c r="C13" s="82" t="s">
        <v>412</v>
      </c>
      <c r="D13" s="84" cm="1">
        <f t="array" ref="D13">IF($B$5=1,"",_xlfn.XLOOKUP($B$3&amp;$B$7,haList!A:A&amp;haList!I:I,haList!D:D))</f>
        <v>3029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-804</v>
      </c>
      <c r="C14" s="82" t="s">
        <v>538</v>
      </c>
      <c r="D14" s="68" cm="1">
        <f t="array" ref="D14">IF(B5=1,"",_xlfn.XLOOKUP($B$3,haList!$A:$A,-haList!$F:$F))</f>
        <v>-804</v>
      </c>
      <c r="E14" s="64"/>
      <c r="F14" s="64"/>
    </row>
    <row r="15" spans="1:8" ht="18" customHeight="1">
      <c r="A15" s="82" t="s">
        <v>587</v>
      </c>
      <c r="B15" s="83">
        <f>B13+B14</f>
        <v>2225</v>
      </c>
      <c r="C15" s="82" t="s">
        <v>587</v>
      </c>
      <c r="D15" s="85">
        <f>IF(B5=1,"",D13+D14)</f>
        <v>2225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2225</v>
      </c>
      <c r="C17" s="82" t="s">
        <v>589</v>
      </c>
      <c r="D17" s="85">
        <f>IF(B5=1,"",D15+D16)</f>
        <v>2225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2225</v>
      </c>
      <c r="C19" s="86" t="s">
        <v>591</v>
      </c>
      <c r="D19" s="88">
        <f>IF(B5=1,"",D17+D18)</f>
        <v>2225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2225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2225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cm="1">
        <f t="array" ref="B25">IF($B$3="","",_xlfn.XLOOKUP($B$3&amp;$B$7,haList!$A:$A&amp;haList!$I:$I,haList!$T:$T))</f>
        <v>0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>
        <f>IF($B$5=1,"",B25)</f>
        <v>0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4700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5100</v>
      </c>
      <c r="D29" s="94"/>
      <c r="E29" s="94"/>
      <c r="F29" s="65"/>
      <c r="H29" s="64"/>
    </row>
    <row r="30" spans="1:9" ht="18" customHeight="1">
      <c r="A30" s="126"/>
      <c r="B30" s="126"/>
      <c r="C30" s="126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5100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510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4590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tabSelected="1" zoomScale="80" zoomScaleNormal="80" workbookViewId="0">
      <pane xSplit="1" ySplit="1" topLeftCell="G138" activePane="bottomRight" state="frozen"/>
      <selection pane="topRight" activeCell="B1" sqref="B1"/>
      <selection pane="bottomLeft" activeCell="A2" sqref="A2"/>
      <selection pane="bottomRight" activeCell="L161" sqref="L161"/>
    </sheetView>
  </sheetViews>
  <sheetFormatPr defaultColWidth="9.125" defaultRowHeight="11.4"/>
  <cols>
    <col min="1" max="2" width="38.875" bestFit="1" customWidth="1"/>
    <col min="3" max="3" width="28.625" bestFit="1" customWidth="1"/>
    <col min="4" max="4" width="12.875" bestFit="1" customWidth="1"/>
    <col min="5" max="5" width="20.125" bestFit="1" customWidth="1"/>
    <col min="6" max="6" width="23" bestFit="1" customWidth="1"/>
    <col min="7" max="7" width="16" bestFit="1" customWidth="1"/>
    <col min="8" max="8" width="20.25" bestFit="1" customWidth="1"/>
    <col min="9" max="9" width="25.75" bestFit="1" customWidth="1"/>
    <col min="10" max="10" width="23.375" bestFit="1" customWidth="1"/>
    <col min="11" max="11" width="15.625" bestFit="1" customWidth="1"/>
    <col min="12" max="12" width="24.125" bestFit="1" customWidth="1"/>
    <col min="13" max="15" width="24.125" customWidth="1"/>
    <col min="16" max="16" width="23.75" bestFit="1" customWidth="1"/>
    <col min="17" max="17" width="17" style="5" bestFit="1" customWidth="1"/>
    <col min="18" max="18" width="17" bestFit="1" customWidth="1"/>
    <col min="19" max="19" width="18.125" bestFit="1" customWidth="1"/>
    <col min="20" max="21" width="26" bestFit="1" customWidth="1"/>
    <col min="22" max="22" width="22.75" bestFit="1" customWidth="1"/>
    <col min="23" max="23" width="38" bestFit="1" customWidth="1"/>
    <col min="24" max="24" width="20.125" customWidth="1"/>
    <col min="25" max="25" width="16.875" customWidth="1"/>
    <col min="26" max="26" width="10.125" bestFit="1" customWidth="1"/>
    <col min="27" max="27" width="9.875" bestFit="1" customWidth="1"/>
    <col min="28" max="29" width="9.875" style="25" bestFit="1" customWidth="1"/>
    <col min="30" max="31" width="9.875" style="7" bestFit="1" customWidth="1"/>
    <col min="32" max="33" width="9.875" bestFit="1" customWidth="1"/>
  </cols>
  <sheetData>
    <row r="1" spans="1:31" ht="12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3.2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3.2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3.2">
      <c r="A4" s="38" t="s">
        <v>499</v>
      </c>
      <c r="B4" s="47" t="s">
        <v>506</v>
      </c>
      <c r="C4" s="57">
        <f>(HearingAids[[#This Row],[haMSRP]]*2)+HearingAids[[#This Row],[chargerPrice]]</f>
        <v>6308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4700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250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3.2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3.2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3.2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3.2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3.2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3.2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3.2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3.2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3.2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3.2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3.2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3.2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3.2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3.2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3.2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3.2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3.2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3.2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3.2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3.2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3.2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3.2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3.2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3.2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3.2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3.2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3.2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3.2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3.2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3.2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3.2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3.2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3.2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3.2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3.2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3.2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3.2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3.2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53">
        <v>750</v>
      </c>
      <c r="K42" s="53">
        <f>HearingAids[[#This Row],[HAListPrice]]-HearingAids[[#This Row],[Discount Amount 2]]</f>
        <v>4050</v>
      </c>
      <c r="L42" s="53"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3.2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v>750</v>
      </c>
      <c r="K43" s="53">
        <f>HearingAids[[#This Row],[HAListPrice]]-HearingAids[[#This Row],[Discount Amount 2]]</f>
        <v>3450</v>
      </c>
      <c r="L43" s="53"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3.2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3.2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3.2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3.2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3.2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3.2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3.2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3.2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3.2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3.2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3.2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3.2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3.2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3.2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3.2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3.2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3.2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3.2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3.2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3.2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3.2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3.2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3.2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3.2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3.2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3.2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3.2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3.2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3.2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3.2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3.2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3.2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3.2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3.2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3.2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3.2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3.2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3.2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3.2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3.2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3.2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3.2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3.2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3.2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3.2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3.2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3.2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3.2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3.2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3.2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3.2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3.2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3.2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3.2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3.2">
      <c r="A98" s="38" t="s">
        <v>500</v>
      </c>
      <c r="B98" s="47" t="s">
        <v>507</v>
      </c>
      <c r="C98" s="57">
        <f>(HearingAids[[#This Row],[haMSRP]]*2)+HearingAids[[#This Row],[chargerPrice]]</f>
        <v>4878</v>
      </c>
      <c r="D98" s="39">
        <v>2339</v>
      </c>
      <c r="E98" s="52" t="s">
        <v>538</v>
      </c>
      <c r="F98" s="39">
        <f>HearingAids[[#This Row],[haMSRP]]-((HearingAids[[#This Row],[ListPriceBinural]]-HearingAids[[#This Row],[chargerPrice]])/2)</f>
        <v>689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3.2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3.2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3.2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3.2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3.2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3.2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3.2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3.2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3.2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3.2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3.2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3.2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3.2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3.2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3.2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3.2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3.2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3.2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3.2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3.2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3.2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3.2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3.2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3.2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3.2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3.2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3.2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3.2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3.2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3.2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3.2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3.2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3.2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3.2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3.2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3.2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3.2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3.2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3.2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3.2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3.2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3.2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3.2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3.2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3.2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3.2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3.2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3.2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3.2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3.2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3.2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3.2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3.2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3.2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3.2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3.2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3.2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3.2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3.2">
      <c r="A157" s="115" t="s">
        <v>500</v>
      </c>
      <c r="B157" s="115" t="s">
        <v>507</v>
      </c>
      <c r="C157" s="116">
        <f>(HearingAids[[#This Row],[haMSRP]]*2)+HearingAids[[#This Row],[chargerPrice]]</f>
        <v>4878</v>
      </c>
      <c r="D157" s="117">
        <v>2339</v>
      </c>
      <c r="E157" s="117" t="s">
        <v>538</v>
      </c>
      <c r="F157" s="117">
        <f>HearingAids[[#This Row],[haMSRP]]-((HearingAids[[#This Row],[ListPriceBinural]]-HearingAids[[#This Row],[chargerPrice]])/2)</f>
        <v>689</v>
      </c>
      <c r="G157" s="117">
        <f>HearingAids[[#This Row],[haMSRP]]-HearingAids[[#This Row],[Discount Amount 1]]</f>
        <v>1650</v>
      </c>
      <c r="H157" s="118">
        <v>3500</v>
      </c>
      <c r="I157" s="120" t="s">
        <v>627</v>
      </c>
      <c r="J157" s="121">
        <f>(HearingAids[[#This Row],[haMSRP]]-HearingAids[[#This Row],[Discount Amount 1]])-(HearingAids[[#This Row],[haNetPriceBinural]]-HearingAids[[#This Row],[chargerPrice]])/2</f>
        <v>55</v>
      </c>
      <c r="K157" s="121">
        <f>HearingAids[[#This Row],[HAListPrice]]-HearingAids[[#This Row],[Discount Amount 2]]</f>
        <v>1595</v>
      </c>
      <c r="L157" s="121">
        <v>3390</v>
      </c>
      <c r="M157" s="121"/>
      <c r="N157" s="121">
        <f>((HearingAids[[#This Row],[haNetPriceBinural]]-HearingAids[[#This Row],[chargerPrice]])/2)-HearingAids[[#This Row],[haNetPriceBinural2]]</f>
        <v>1595</v>
      </c>
      <c r="O157" s="121">
        <f>HearingAids[[#This Row],[haNetPrice]]-HearingAids[[#This Row],[Discount Amount 3]]</f>
        <v>0</v>
      </c>
      <c r="P157" s="117"/>
      <c r="Q157" s="122">
        <v>1</v>
      </c>
      <c r="R157" s="122" t="s">
        <v>9</v>
      </c>
      <c r="S157" s="122">
        <v>200</v>
      </c>
      <c r="T157" s="124" t="s">
        <v>26</v>
      </c>
      <c r="U157" s="124">
        <v>0</v>
      </c>
      <c r="V157" s="117" t="s">
        <v>11</v>
      </c>
      <c r="Y157" s="25"/>
      <c r="Z157" s="25"/>
      <c r="AA157" s="25"/>
      <c r="AB157"/>
      <c r="AC157"/>
      <c r="AD157"/>
      <c r="AE157"/>
    </row>
    <row r="158" spans="1:31" ht="13.2">
      <c r="A158" s="115" t="s">
        <v>413</v>
      </c>
      <c r="B158" s="115" t="s">
        <v>416</v>
      </c>
      <c r="C158" s="116">
        <f>(HearingAids[[#This Row],[haMSRP]]*2)+HearingAids[[#This Row],[chargerPrice]]</f>
        <v>11888</v>
      </c>
      <c r="D158" s="117">
        <v>5819</v>
      </c>
      <c r="E158" s="117" t="s">
        <v>538</v>
      </c>
      <c r="F158" s="117">
        <f>HearingAids[[#This Row],[haMSRP]]-((HearingAids[[#This Row],[ListPriceBinural]]-HearingAids[[#This Row],[chargerPrice]])/2)</f>
        <v>1019</v>
      </c>
      <c r="G158" s="117">
        <f>HearingAids[[#This Row],[haMSRP]]-HearingAids[[#This Row],[Discount Amount 1]]</f>
        <v>4800</v>
      </c>
      <c r="H158" s="119">
        <v>9850</v>
      </c>
      <c r="I158" s="120" t="s">
        <v>627</v>
      </c>
      <c r="J158" s="121">
        <f>(HearingAids[[#This Row],[haMSRP]]-HearingAids[[#This Row],[Discount Amount 1]])-(HearingAids[[#This Row],[haNetPriceBinural]]-HearingAids[[#This Row],[chargerPrice]])/2</f>
        <v>1580</v>
      </c>
      <c r="K158" s="121">
        <f>HearingAids[[#This Row],[HAListPrice]]-HearingAids[[#This Row],[Discount Amount 2]]</f>
        <v>3220</v>
      </c>
      <c r="L158" s="121">
        <v>6690</v>
      </c>
      <c r="M158" s="121"/>
      <c r="N158" s="121">
        <f>((HearingAids[[#This Row],[haNetPriceBinural]]-HearingAids[[#This Row],[chargerPrice]])/2)-HearingAids[[#This Row],[haNetPriceBinural2]]</f>
        <v>3220</v>
      </c>
      <c r="O158" s="121">
        <f>HearingAids[[#This Row],[haNetPrice]]-HearingAids[[#This Row],[Discount Amount 3]]</f>
        <v>0</v>
      </c>
      <c r="P158" s="121"/>
      <c r="Q158" s="123">
        <v>1</v>
      </c>
      <c r="R158" s="123" t="s">
        <v>13</v>
      </c>
      <c r="S158" s="123">
        <v>250</v>
      </c>
      <c r="T158" s="124" t="s">
        <v>14</v>
      </c>
      <c r="U158" s="125">
        <v>0</v>
      </c>
      <c r="V158" s="117" t="s">
        <v>11</v>
      </c>
      <c r="Y158" s="25"/>
      <c r="Z158" s="25"/>
      <c r="AA158" s="25"/>
      <c r="AB158"/>
      <c r="AC158"/>
      <c r="AD158"/>
      <c r="AE158"/>
    </row>
    <row r="159" spans="1:31" ht="13.2">
      <c r="A159" s="115" t="s">
        <v>414</v>
      </c>
      <c r="B159" s="115" t="s">
        <v>417</v>
      </c>
      <c r="C159" s="116">
        <f>(HearingAids[[#This Row],[haMSRP]]*2)+HearingAids[[#This Row],[chargerPrice]]</f>
        <v>7628</v>
      </c>
      <c r="D159" s="117">
        <v>3689</v>
      </c>
      <c r="E159" s="117" t="s">
        <v>538</v>
      </c>
      <c r="F159" s="117">
        <f>HearingAids[[#This Row],[haMSRP]]-((HearingAids[[#This Row],[ListPriceBinural]]-HearingAids[[#This Row],[chargerPrice]])/2)</f>
        <v>219</v>
      </c>
      <c r="G159" s="117">
        <f>HearingAids[[#This Row],[haMSRP]]-HearingAids[[#This Row],[Discount Amount 1]]</f>
        <v>3470</v>
      </c>
      <c r="H159" s="119">
        <v>7190</v>
      </c>
      <c r="I159" s="120" t="s">
        <v>627</v>
      </c>
      <c r="J159" s="121">
        <f>(HearingAids[[#This Row],[haMSRP]]-HearingAids[[#This Row],[Discount Amount 1]])-(HearingAids[[#This Row],[haNetPriceBinural]]-HearingAids[[#This Row],[chargerPrice]])/2</f>
        <v>1150</v>
      </c>
      <c r="K159" s="121">
        <f>HearingAids[[#This Row],[HAListPrice]]-HearingAids[[#This Row],[Discount Amount 2]]</f>
        <v>2320</v>
      </c>
      <c r="L159" s="121">
        <v>4890</v>
      </c>
      <c r="M159" s="121"/>
      <c r="N159" s="121">
        <f>((HearingAids[[#This Row],[haNetPriceBinural]]-HearingAids[[#This Row],[chargerPrice]])/2)-HearingAids[[#This Row],[haNetPriceBinural2]]</f>
        <v>2320</v>
      </c>
      <c r="O159" s="121">
        <f>HearingAids[[#This Row],[haNetPrice]]-HearingAids[[#This Row],[Discount Amount 3]]</f>
        <v>0</v>
      </c>
      <c r="P159" s="121"/>
      <c r="Q159" s="123">
        <v>1</v>
      </c>
      <c r="R159" s="123" t="s">
        <v>13</v>
      </c>
      <c r="S159" s="123">
        <v>250</v>
      </c>
      <c r="T159" s="124" t="s">
        <v>14</v>
      </c>
      <c r="U159" s="125">
        <v>0</v>
      </c>
      <c r="V159" s="117" t="s">
        <v>11</v>
      </c>
      <c r="Y159" s="25"/>
      <c r="Z159" s="25"/>
      <c r="AA159" s="25"/>
      <c r="AB159"/>
      <c r="AC159"/>
      <c r="AD159"/>
      <c r="AE159"/>
    </row>
    <row r="160" spans="1:31" ht="13.2">
      <c r="A160" s="115" t="s">
        <v>415</v>
      </c>
      <c r="B160" s="115" t="s">
        <v>418</v>
      </c>
      <c r="C160" s="116">
        <f>(HearingAids[[#This Row],[haMSRP]]*2)+HearingAids[[#This Row],[chargerPrice]]</f>
        <v>9608</v>
      </c>
      <c r="D160" s="117">
        <v>4679</v>
      </c>
      <c r="E160" s="117" t="s">
        <v>538</v>
      </c>
      <c r="F160" s="117">
        <f>HearingAids[[#This Row],[haMSRP]]-((HearingAids[[#This Row],[ListPriceBinural]]-HearingAids[[#This Row],[chargerPrice]])/2)</f>
        <v>479</v>
      </c>
      <c r="G160" s="117">
        <f>HearingAids[[#This Row],[haMSRP]]-HearingAids[[#This Row],[Discount Amount 1]]</f>
        <v>4200</v>
      </c>
      <c r="H160" s="119">
        <v>8650</v>
      </c>
      <c r="I160" s="120" t="s">
        <v>627</v>
      </c>
      <c r="J160" s="121">
        <f>(HearingAids[[#This Row],[haMSRP]]-HearingAids[[#This Row],[Discount Amount 1]])-(HearingAids[[#This Row],[haNetPriceBinural]]-HearingAids[[#This Row],[chargerPrice]])/2</f>
        <v>1480</v>
      </c>
      <c r="K160" s="121">
        <f>HearingAids[[#This Row],[HAListPrice]]-HearingAids[[#This Row],[Discount Amount 2]]</f>
        <v>2720</v>
      </c>
      <c r="L160" s="121">
        <v>5690</v>
      </c>
      <c r="M160" s="121"/>
      <c r="N160" s="121">
        <f>((HearingAids[[#This Row],[haNetPriceBinural]]-HearingAids[[#This Row],[chargerPrice]])/2)-HearingAids[[#This Row],[haNetPriceBinural2]]</f>
        <v>2720</v>
      </c>
      <c r="O160" s="121">
        <f>HearingAids[[#This Row],[haNetPrice]]-HearingAids[[#This Row],[Discount Amount 3]]</f>
        <v>0</v>
      </c>
      <c r="P160" s="121"/>
      <c r="Q160" s="123">
        <v>1</v>
      </c>
      <c r="R160" s="123" t="s">
        <v>13</v>
      </c>
      <c r="S160" s="123">
        <v>250</v>
      </c>
      <c r="T160" s="124" t="s">
        <v>14</v>
      </c>
      <c r="U160" s="125">
        <v>0</v>
      </c>
      <c r="V160" s="117" t="s">
        <v>11</v>
      </c>
      <c r="Y160" s="25"/>
      <c r="Z160" s="25"/>
      <c r="AA160" s="25"/>
      <c r="AB160"/>
      <c r="AC160"/>
      <c r="AD160"/>
      <c r="AE160"/>
    </row>
    <row r="161" spans="1:31" ht="13.2">
      <c r="A161" s="129" t="s">
        <v>496</v>
      </c>
      <c r="B161" s="130" t="s">
        <v>503</v>
      </c>
      <c r="C161" s="116">
        <f>(HearingAids[[#This Row],[haMSRP]]*2)+HearingAids[[#This Row],[chargerPrice]]</f>
        <v>11888</v>
      </c>
      <c r="D161" s="117">
        <v>5819</v>
      </c>
      <c r="E161" s="117" t="s">
        <v>538</v>
      </c>
      <c r="F161" s="117">
        <f>HearingAids[[#This Row],[haMSRP]]-((HearingAids[[#This Row],[ListPriceBinural]]-HearingAids[[#This Row],[chargerPrice]])/2)</f>
        <v>1019</v>
      </c>
      <c r="G161" s="131">
        <f>HearingAids[[#This Row],[haMSRP]]-HearingAids[[#This Row],[Discount Amount 1]]</f>
        <v>4800</v>
      </c>
      <c r="H161" s="119">
        <v>9850</v>
      </c>
      <c r="I161" s="120" t="s">
        <v>628</v>
      </c>
      <c r="J161" s="121">
        <v>1400</v>
      </c>
      <c r="K161" s="132">
        <f>HearingAids[[#This Row],[HAListPrice]]-HearingAids[[#This Row],[Discount Amount 2]]</f>
        <v>3400</v>
      </c>
      <c r="L161" s="121">
        <v>9350</v>
      </c>
      <c r="M161" s="133"/>
      <c r="N161" s="132"/>
      <c r="O161" s="134"/>
      <c r="P161" s="117">
        <v>7700</v>
      </c>
      <c r="Q161" s="122">
        <v>1</v>
      </c>
      <c r="R161" s="122" t="s">
        <v>13</v>
      </c>
      <c r="S161" s="122">
        <v>250</v>
      </c>
      <c r="T161" s="124" t="s">
        <v>14</v>
      </c>
      <c r="U161" s="124">
        <v>0</v>
      </c>
      <c r="V161" s="117" t="s">
        <v>11</v>
      </c>
      <c r="Y161" s="25"/>
      <c r="Z161" s="25"/>
      <c r="AA161" s="25"/>
      <c r="AB161"/>
      <c r="AC161"/>
      <c r="AD161"/>
      <c r="AE161"/>
    </row>
    <row r="162" spans="1:31" ht="13.2">
      <c r="A162" s="129" t="s">
        <v>497</v>
      </c>
      <c r="B162" s="130" t="s">
        <v>504</v>
      </c>
      <c r="C162" s="116">
        <f>(HearingAids[[#This Row],[haMSRP]]*2)+HearingAids[[#This Row],[chargerPrice]]</f>
        <v>9608</v>
      </c>
      <c r="D162" s="117">
        <v>4679</v>
      </c>
      <c r="E162" s="117" t="s">
        <v>538</v>
      </c>
      <c r="F162" s="117">
        <f>HearingAids[[#This Row],[haMSRP]]-((HearingAids[[#This Row],[ListPriceBinural]]-HearingAids[[#This Row],[chargerPrice]])/2)</f>
        <v>479</v>
      </c>
      <c r="G162" s="131">
        <f>HearingAids[[#This Row],[haMSRP]]-HearingAids[[#This Row],[Discount Amount 1]]</f>
        <v>4200</v>
      </c>
      <c r="H162" s="119">
        <v>8650</v>
      </c>
      <c r="I162" s="120" t="s">
        <v>628</v>
      </c>
      <c r="J162" s="121">
        <v>1200</v>
      </c>
      <c r="K162" s="132">
        <f>HearingAids[[#This Row],[HAListPrice]]-HearingAids[[#This Row],[Discount Amount 2]]</f>
        <v>3000</v>
      </c>
      <c r="L162" s="121">
        <v>8150</v>
      </c>
      <c r="M162" s="133"/>
      <c r="N162" s="132"/>
      <c r="O162" s="134"/>
      <c r="P162" s="117">
        <v>6700</v>
      </c>
      <c r="Q162" s="122">
        <v>1</v>
      </c>
      <c r="R162" s="122" t="s">
        <v>13</v>
      </c>
      <c r="S162" s="122">
        <v>250</v>
      </c>
      <c r="T162" s="124" t="s">
        <v>14</v>
      </c>
      <c r="U162" s="124">
        <v>0</v>
      </c>
      <c r="V162" s="117" t="s">
        <v>11</v>
      </c>
      <c r="Y162" s="25"/>
      <c r="Z162" s="25"/>
      <c r="AA162" s="25"/>
      <c r="AB162"/>
      <c r="AC162"/>
      <c r="AD162"/>
      <c r="AE162"/>
    </row>
    <row r="163" spans="1:31" ht="13.2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1" ht="13.2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1" ht="13.2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1" ht="13.2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1" ht="13.2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1" ht="13.2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1" ht="13.2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1" ht="13.2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1" ht="13.2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1" ht="13.2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1" ht="13.2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1" ht="13.2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1" ht="13.2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1" ht="13.2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3.2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3.2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3.2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3.2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3.2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3.2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3.2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3.2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3.2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3.2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3.2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3.2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3.2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3.2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3.2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3.2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3.2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3.2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3.2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3.2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3.2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3.2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3.2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3.2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3.2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3.2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3.2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3.2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3.2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3.2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3.2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3.2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3.2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3.2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3.2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3.2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3.2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3.2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3.2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3.2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3.2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3.2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3.2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3.2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3.2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3.2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3.2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3.2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3.2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3.2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3.2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3.2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3.2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3.2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3.2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3.2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3.2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3.2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3.2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3.2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3.2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3.2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75" bestFit="1" customWidth="1"/>
    <col min="2" max="3" width="15.75" customWidth="1"/>
    <col min="4" max="4" width="23.875" bestFit="1" customWidth="1"/>
    <col min="5" max="5" width="22.75" bestFit="1" customWidth="1"/>
    <col min="6" max="6" width="22.75" customWidth="1"/>
    <col min="7" max="7" width="23.875" style="26" bestFit="1" customWidth="1"/>
    <col min="8" max="8" width="26.875" bestFit="1" customWidth="1"/>
    <col min="9" max="9" width="23.25" customWidth="1"/>
    <col min="10" max="10" width="26.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1.4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1.4"/>
  <cols>
    <col min="1" max="1" width="21.625" bestFit="1" customWidth="1"/>
    <col min="2" max="2" width="22.125" bestFit="1" customWidth="1"/>
    <col min="3" max="5" width="19.25" customWidth="1"/>
    <col min="6" max="7" width="23.25" customWidth="1"/>
    <col min="8" max="8" width="26.125" customWidth="1"/>
  </cols>
  <sheetData>
    <row r="1" spans="1:8" ht="12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1.4"/>
  <cols>
    <col min="1" max="1" width="18.125" bestFit="1" customWidth="1"/>
    <col min="2" max="2" width="16.625" bestFit="1" customWidth="1"/>
    <col min="3" max="3" width="20.25" bestFit="1" customWidth="1"/>
    <col min="4" max="5" width="25.625" customWidth="1"/>
    <col min="6" max="6" width="25.375" customWidth="1"/>
    <col min="7" max="7" width="22.625" customWidth="1"/>
    <col min="8" max="8" width="12.875" customWidth="1"/>
  </cols>
  <sheetData>
    <row r="1" spans="1:8" ht="12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1.4"/>
  <cols>
    <col min="1" max="1" width="26.125" bestFit="1" customWidth="1"/>
    <col min="2" max="2" width="27.25" bestFit="1" customWidth="1"/>
    <col min="3" max="3" width="18.75" bestFit="1" customWidth="1"/>
    <col min="4" max="5" width="24.75" customWidth="1"/>
    <col min="6" max="6" width="21.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1.4"/>
  <cols>
    <col min="1" max="1" width="36.125" bestFit="1" customWidth="1"/>
    <col min="2" max="2" width="24" bestFit="1" customWidth="1"/>
    <col min="3" max="3" width="35.375" bestFit="1" customWidth="1"/>
    <col min="4" max="4" width="16.625" bestFit="1" customWidth="1"/>
    <col min="5" max="5" width="18.875" bestFit="1" customWidth="1"/>
  </cols>
  <sheetData>
    <row r="2" spans="1:5" ht="12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Thanksgiving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2025-11-22T14:34:59Z</dcterms:modified>
  <cp:category/>
  <cp:contentStatus/>
</cp:coreProperties>
</file>