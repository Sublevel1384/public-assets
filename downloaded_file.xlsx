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789" documentId="8_{964C585B-190F-46EC-9553-F8D486DF59FA}" xr6:coauthVersionLast="47" xr6:coauthVersionMax="47" xr10:uidLastSave="{DA11AABC-BA2D-4C1E-A2D3-87FE92888F46}"/>
  <bookViews>
    <workbookView xWindow="13155" yWindow="-16320" windowWidth="29040" windowHeight="15720" activeTab="2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53" i="1" l="1"/>
  <c r="J152" i="1"/>
  <c r="J151" i="1"/>
  <c r="J121" i="1"/>
  <c r="J120" i="1"/>
  <c r="J119" i="1"/>
  <c r="C28" i="2" l="1" a="1"/>
  <c r="C28" i="2" s="1"/>
  <c r="C142" i="1"/>
  <c r="K140" i="1"/>
  <c r="N140" i="1" s="1"/>
  <c r="O140" i="1" s="1"/>
  <c r="K147" i="1"/>
  <c r="N147" i="1" s="1"/>
  <c r="J138" i="1"/>
  <c r="J143" i="1"/>
  <c r="J149" i="1"/>
  <c r="G153" i="1"/>
  <c r="K153" i="1" s="1"/>
  <c r="G138" i="1"/>
  <c r="K138" i="1" s="1"/>
  <c r="N138" i="1" s="1"/>
  <c r="O138" i="1" s="1"/>
  <c r="G140" i="1"/>
  <c r="G147" i="1"/>
  <c r="G148" i="1"/>
  <c r="K148" i="1" s="1"/>
  <c r="N148" i="1" s="1"/>
  <c r="G150" i="1"/>
  <c r="K150" i="1" s="1"/>
  <c r="N150" i="1" s="1"/>
  <c r="G152" i="1"/>
  <c r="K152" i="1" s="1"/>
  <c r="F153" i="1"/>
  <c r="F138" i="1"/>
  <c r="F139" i="1"/>
  <c r="G139" i="1" s="1"/>
  <c r="K139" i="1" s="1"/>
  <c r="N139" i="1" s="1"/>
  <c r="O139" i="1" s="1"/>
  <c r="F140" i="1"/>
  <c r="F141" i="1"/>
  <c r="G141" i="1" s="1"/>
  <c r="K141" i="1" s="1"/>
  <c r="N141" i="1" s="1"/>
  <c r="O141" i="1" s="1"/>
  <c r="F142" i="1"/>
  <c r="G142" i="1" s="1"/>
  <c r="F143" i="1"/>
  <c r="G143" i="1" s="1"/>
  <c r="K143" i="1" s="1"/>
  <c r="N143" i="1" s="1"/>
  <c r="F144" i="1"/>
  <c r="G144" i="1" s="1"/>
  <c r="K144" i="1" s="1"/>
  <c r="F145" i="1"/>
  <c r="G145" i="1" s="1"/>
  <c r="K145" i="1" s="1"/>
  <c r="F146" i="1"/>
  <c r="G146" i="1" s="1"/>
  <c r="K146" i="1" s="1"/>
  <c r="F147" i="1"/>
  <c r="F148" i="1"/>
  <c r="J148" i="1" s="1"/>
  <c r="F149" i="1"/>
  <c r="G149" i="1" s="1"/>
  <c r="K149" i="1" s="1"/>
  <c r="N149" i="1" s="1"/>
  <c r="F150" i="1"/>
  <c r="J150" i="1" s="1"/>
  <c r="F151" i="1"/>
  <c r="G151" i="1" s="1"/>
  <c r="K151" i="1" s="1"/>
  <c r="F152" i="1"/>
  <c r="C138" i="1"/>
  <c r="C139" i="1"/>
  <c r="C140" i="1"/>
  <c r="C141" i="1"/>
  <c r="C143" i="1"/>
  <c r="C144" i="1"/>
  <c r="C145" i="1"/>
  <c r="C146" i="1"/>
  <c r="C147" i="1"/>
  <c r="C148" i="1"/>
  <c r="C149" i="1"/>
  <c r="C150" i="1"/>
  <c r="C151" i="1"/>
  <c r="C152" i="1"/>
  <c r="C153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0" i="1"/>
  <c r="C40" i="1"/>
  <c r="F39" i="1"/>
  <c r="C39" i="1"/>
  <c r="C32" i="1"/>
  <c r="C33" i="1"/>
  <c r="C34" i="1"/>
  <c r="C35" i="1"/>
  <c r="C36" i="1"/>
  <c r="C37" i="1"/>
  <c r="C38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111" i="1"/>
  <c r="C112" i="1"/>
  <c r="C113" i="1"/>
  <c r="C114" i="1"/>
  <c r="C115" i="1"/>
  <c r="C116" i="1"/>
  <c r="C117" i="1"/>
  <c r="C118" i="1"/>
  <c r="C119" i="1"/>
  <c r="C120" i="1"/>
  <c r="C121" i="1"/>
  <c r="C99" i="1"/>
  <c r="C100" i="1"/>
  <c r="C101" i="1"/>
  <c r="C102" i="1"/>
  <c r="C103" i="1"/>
  <c r="C104" i="1"/>
  <c r="C2" i="1"/>
  <c r="C3" i="1"/>
  <c r="C105" i="1"/>
  <c r="C4" i="1"/>
  <c r="C106" i="1"/>
  <c r="C107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08" i="1"/>
  <c r="C109" i="1"/>
  <c r="C110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F137" i="1"/>
  <c r="F133" i="1"/>
  <c r="J133" i="1" s="1"/>
  <c r="F129" i="1"/>
  <c r="G129" i="1" s="1"/>
  <c r="F125" i="1"/>
  <c r="J125" i="1" s="1"/>
  <c r="F110" i="1"/>
  <c r="F118" i="1"/>
  <c r="F114" i="1"/>
  <c r="F98" i="1"/>
  <c r="F94" i="1"/>
  <c r="J94" i="1" s="1"/>
  <c r="F90" i="1"/>
  <c r="J90" i="1" s="1"/>
  <c r="F86" i="1"/>
  <c r="F82" i="1"/>
  <c r="J82" i="1" s="1"/>
  <c r="F35" i="1"/>
  <c r="F136" i="1"/>
  <c r="F132" i="1"/>
  <c r="F128" i="1"/>
  <c r="F124" i="1"/>
  <c r="F109" i="1"/>
  <c r="J109" i="1" s="1"/>
  <c r="F117" i="1"/>
  <c r="G117" i="1" s="1"/>
  <c r="F113" i="1"/>
  <c r="F97" i="1"/>
  <c r="F93" i="1"/>
  <c r="F89" i="1"/>
  <c r="G89" i="1" s="1"/>
  <c r="F85" i="1"/>
  <c r="F81" i="1"/>
  <c r="F34" i="1"/>
  <c r="F135" i="1"/>
  <c r="F131" i="1"/>
  <c r="G131" i="1" s="1"/>
  <c r="F127" i="1"/>
  <c r="F123" i="1"/>
  <c r="J123" i="1" s="1"/>
  <c r="F108" i="1"/>
  <c r="F116" i="1"/>
  <c r="F112" i="1"/>
  <c r="F96" i="1"/>
  <c r="F92" i="1"/>
  <c r="F88" i="1"/>
  <c r="F84" i="1"/>
  <c r="F80" i="1"/>
  <c r="F33" i="1"/>
  <c r="F31" i="1"/>
  <c r="F79" i="1"/>
  <c r="F30" i="1"/>
  <c r="F78" i="1"/>
  <c r="F29" i="1"/>
  <c r="F77" i="1"/>
  <c r="F28" i="1"/>
  <c r="F76" i="1"/>
  <c r="F27" i="1"/>
  <c r="F75" i="1"/>
  <c r="F26" i="1"/>
  <c r="G26" i="1" s="1"/>
  <c r="K26" i="1" s="1"/>
  <c r="F74" i="1"/>
  <c r="F25" i="1"/>
  <c r="F73" i="1"/>
  <c r="G73" i="1" s="1"/>
  <c r="F72" i="1"/>
  <c r="F24" i="1"/>
  <c r="F71" i="1"/>
  <c r="G71" i="1" s="1"/>
  <c r="F23" i="1"/>
  <c r="F22" i="1"/>
  <c r="F70" i="1"/>
  <c r="F21" i="1"/>
  <c r="F69" i="1"/>
  <c r="F20" i="1"/>
  <c r="G20" i="1" s="1"/>
  <c r="K20" i="1" s="1"/>
  <c r="F68" i="1"/>
  <c r="F19" i="1"/>
  <c r="F67" i="1"/>
  <c r="F18" i="1"/>
  <c r="F66" i="1"/>
  <c r="F17" i="1"/>
  <c r="F65" i="1"/>
  <c r="F16" i="1"/>
  <c r="F64" i="1"/>
  <c r="F63" i="1"/>
  <c r="F15" i="1"/>
  <c r="F62" i="1"/>
  <c r="F14" i="1"/>
  <c r="F61" i="1"/>
  <c r="F13" i="1"/>
  <c r="F60" i="1"/>
  <c r="F12" i="1"/>
  <c r="G12" i="1" s="1"/>
  <c r="K12" i="1" s="1"/>
  <c r="F59" i="1"/>
  <c r="F11" i="1"/>
  <c r="F10" i="1"/>
  <c r="G10" i="1" s="1"/>
  <c r="K10" i="1" s="1"/>
  <c r="F58" i="1"/>
  <c r="F9" i="1"/>
  <c r="F57" i="1"/>
  <c r="G57" i="1" s="1"/>
  <c r="F8" i="1"/>
  <c r="F56" i="1"/>
  <c r="F7" i="1"/>
  <c r="F55" i="1"/>
  <c r="F54" i="1"/>
  <c r="F6" i="1"/>
  <c r="F53" i="1"/>
  <c r="F5" i="1"/>
  <c r="F121" i="1"/>
  <c r="F38" i="1"/>
  <c r="F52" i="1"/>
  <c r="F107" i="1"/>
  <c r="F51" i="1"/>
  <c r="F120" i="1"/>
  <c r="F37" i="1"/>
  <c r="D14" i="2" s="1" a="1"/>
  <c r="D14" i="2" s="1"/>
  <c r="F106" i="1"/>
  <c r="F50" i="1"/>
  <c r="B14" i="2" s="1" a="1"/>
  <c r="B14" i="2" s="1"/>
  <c r="F4" i="1"/>
  <c r="F119" i="1"/>
  <c r="F49" i="1"/>
  <c r="F36" i="1"/>
  <c r="F105" i="1"/>
  <c r="F115" i="1"/>
  <c r="F134" i="1"/>
  <c r="F130" i="1"/>
  <c r="F126" i="1"/>
  <c r="F122" i="1"/>
  <c r="F83" i="1"/>
  <c r="F48" i="1"/>
  <c r="F32" i="1"/>
  <c r="F111" i="1"/>
  <c r="F95" i="1"/>
  <c r="G95" i="1" s="1"/>
  <c r="F91" i="1"/>
  <c r="F87" i="1"/>
  <c r="F3" i="1"/>
  <c r="F47" i="1"/>
  <c r="F2" i="1"/>
  <c r="F104" i="1"/>
  <c r="F46" i="1"/>
  <c r="F103" i="1"/>
  <c r="F45" i="1"/>
  <c r="F102" i="1"/>
  <c r="F44" i="1"/>
  <c r="F101" i="1"/>
  <c r="F43" i="1"/>
  <c r="F100" i="1"/>
  <c r="F42" i="1"/>
  <c r="F99" i="1"/>
  <c r="F41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N146" i="1" l="1"/>
  <c r="O146" i="1"/>
  <c r="N145" i="1"/>
  <c r="O145" i="1"/>
  <c r="N144" i="1"/>
  <c r="O144" i="1"/>
  <c r="J142" i="1"/>
  <c r="K142" i="1" s="1"/>
  <c r="N142" i="1" s="1"/>
  <c r="O147" i="1"/>
  <c r="O149" i="1"/>
  <c r="O150" i="1"/>
  <c r="O148" i="1"/>
  <c r="D15" i="2"/>
  <c r="C24" i="2" a="1"/>
  <c r="C24" i="2" s="1"/>
  <c r="B15" i="2"/>
  <c r="G39" i="1"/>
  <c r="K39" i="1" s="1"/>
  <c r="G40" i="1"/>
  <c r="K40" i="1" s="1"/>
  <c r="G110" i="1"/>
  <c r="G18" i="1"/>
  <c r="K18" i="1" s="1"/>
  <c r="G65" i="1"/>
  <c r="G100" i="1"/>
  <c r="G115" i="1"/>
  <c r="G123" i="1"/>
  <c r="K123" i="1" s="1"/>
  <c r="G97" i="1"/>
  <c r="G28" i="1"/>
  <c r="K28" i="1" s="1"/>
  <c r="G63" i="1"/>
  <c r="G41" i="1"/>
  <c r="G133" i="1"/>
  <c r="K133" i="1" s="1"/>
  <c r="G37" i="1"/>
  <c r="G125" i="1"/>
  <c r="K125" i="1" s="1"/>
  <c r="G107" i="1"/>
  <c r="G102" i="1"/>
  <c r="G81" i="1"/>
  <c r="G49" i="1"/>
  <c r="G130" i="1"/>
  <c r="G122" i="1"/>
  <c r="G27" i="1"/>
  <c r="K27" i="1" s="1"/>
  <c r="G19" i="1"/>
  <c r="K19" i="1" s="1"/>
  <c r="G11" i="1"/>
  <c r="K11" i="1" s="1"/>
  <c r="G106" i="1"/>
  <c r="G101" i="1"/>
  <c r="G116" i="1"/>
  <c r="G96" i="1"/>
  <c r="G88" i="1"/>
  <c r="G80" i="1"/>
  <c r="G72" i="1"/>
  <c r="G64" i="1"/>
  <c r="G56" i="1"/>
  <c r="G48" i="1"/>
  <c r="G38" i="1"/>
  <c r="G137" i="1"/>
  <c r="G87" i="1"/>
  <c r="G79" i="1"/>
  <c r="G55" i="1"/>
  <c r="G47" i="1"/>
  <c r="G136" i="1"/>
  <c r="G128" i="1"/>
  <c r="G109" i="1"/>
  <c r="K109" i="1" s="1"/>
  <c r="G25" i="1"/>
  <c r="K25" i="1" s="1"/>
  <c r="G17" i="1"/>
  <c r="K17" i="1" s="1"/>
  <c r="G9" i="1"/>
  <c r="K9" i="1" s="1"/>
  <c r="G105" i="1"/>
  <c r="G99" i="1"/>
  <c r="G114" i="1"/>
  <c r="G94" i="1"/>
  <c r="K94" i="1" s="1"/>
  <c r="G86" i="1"/>
  <c r="G78" i="1"/>
  <c r="G70" i="1"/>
  <c r="G62" i="1"/>
  <c r="G54" i="1"/>
  <c r="G46" i="1"/>
  <c r="G36" i="1"/>
  <c r="G135" i="1"/>
  <c r="G127" i="1"/>
  <c r="G108" i="1"/>
  <c r="G24" i="1"/>
  <c r="K24" i="1" s="1"/>
  <c r="G16" i="1"/>
  <c r="K16" i="1" s="1"/>
  <c r="G8" i="1"/>
  <c r="K8" i="1" s="1"/>
  <c r="G3" i="1"/>
  <c r="K3" i="1" s="1"/>
  <c r="G121" i="1"/>
  <c r="G113" i="1"/>
  <c r="G93" i="1"/>
  <c r="G85" i="1"/>
  <c r="G77" i="1"/>
  <c r="G69" i="1"/>
  <c r="G61" i="1"/>
  <c r="G53" i="1"/>
  <c r="G45" i="1"/>
  <c r="G35" i="1"/>
  <c r="G134" i="1"/>
  <c r="G126" i="1"/>
  <c r="G31" i="1"/>
  <c r="K31" i="1" s="1"/>
  <c r="G23" i="1"/>
  <c r="K23" i="1" s="1"/>
  <c r="G15" i="1"/>
  <c r="K15" i="1" s="1"/>
  <c r="G7" i="1"/>
  <c r="K7" i="1" s="1"/>
  <c r="G2" i="1"/>
  <c r="K2" i="1" s="1"/>
  <c r="G120" i="1"/>
  <c r="G112" i="1"/>
  <c r="G92" i="1"/>
  <c r="G84" i="1"/>
  <c r="G76" i="1"/>
  <c r="G68" i="1"/>
  <c r="G60" i="1"/>
  <c r="G52" i="1"/>
  <c r="G44" i="1"/>
  <c r="G34" i="1"/>
  <c r="G30" i="1"/>
  <c r="K30" i="1" s="1"/>
  <c r="G22" i="1"/>
  <c r="K22" i="1" s="1"/>
  <c r="G14" i="1"/>
  <c r="K14" i="1" s="1"/>
  <c r="G6" i="1"/>
  <c r="K6" i="1" s="1"/>
  <c r="G104" i="1"/>
  <c r="G119" i="1"/>
  <c r="G111" i="1"/>
  <c r="G91" i="1"/>
  <c r="G83" i="1"/>
  <c r="G75" i="1"/>
  <c r="G67" i="1"/>
  <c r="G59" i="1"/>
  <c r="G51" i="1"/>
  <c r="G43" i="1"/>
  <c r="G33" i="1"/>
  <c r="G4" i="1"/>
  <c r="K4" i="1" s="1"/>
  <c r="G132" i="1"/>
  <c r="G124" i="1"/>
  <c r="G29" i="1"/>
  <c r="K29" i="1" s="1"/>
  <c r="G21" i="1"/>
  <c r="K21" i="1" s="1"/>
  <c r="G13" i="1"/>
  <c r="K13" i="1" s="1"/>
  <c r="G5" i="1"/>
  <c r="K5" i="1" s="1"/>
  <c r="G103" i="1"/>
  <c r="G118" i="1"/>
  <c r="G98" i="1"/>
  <c r="G90" i="1"/>
  <c r="K90" i="1" s="1"/>
  <c r="G82" i="1"/>
  <c r="K82" i="1" s="1"/>
  <c r="G74" i="1"/>
  <c r="G66" i="1"/>
  <c r="G58" i="1"/>
  <c r="G50" i="1"/>
  <c r="G42" i="1"/>
  <c r="G32" i="1"/>
  <c r="J136" i="1"/>
  <c r="J73" i="1"/>
  <c r="K73" i="1" s="1"/>
  <c r="J65" i="1"/>
  <c r="J57" i="1"/>
  <c r="K57" i="1" s="1"/>
  <c r="J114" i="1"/>
  <c r="J55" i="1"/>
  <c r="J97" i="1"/>
  <c r="J49" i="1"/>
  <c r="J112" i="1"/>
  <c r="J89" i="1"/>
  <c r="K89" i="1" s="1"/>
  <c r="J47" i="1"/>
  <c r="J128" i="1"/>
  <c r="J81" i="1"/>
  <c r="J41" i="1"/>
  <c r="J105" i="1"/>
  <c r="J79" i="1"/>
  <c r="J37" i="1"/>
  <c r="J99" i="1"/>
  <c r="J135" i="1"/>
  <c r="J127" i="1"/>
  <c r="J108" i="1"/>
  <c r="J113" i="1"/>
  <c r="J96" i="1"/>
  <c r="J88" i="1"/>
  <c r="J80" i="1"/>
  <c r="J72" i="1"/>
  <c r="J64" i="1"/>
  <c r="J56" i="1"/>
  <c r="J48" i="1"/>
  <c r="J38" i="1"/>
  <c r="J95" i="1"/>
  <c r="K95" i="1" s="1"/>
  <c r="J71" i="1"/>
  <c r="K71" i="1" s="1"/>
  <c r="J63" i="1"/>
  <c r="J104" i="1"/>
  <c r="J111" i="1"/>
  <c r="J86" i="1"/>
  <c r="J78" i="1"/>
  <c r="J70" i="1"/>
  <c r="J62" i="1"/>
  <c r="J54" i="1"/>
  <c r="J46" i="1"/>
  <c r="J36" i="1"/>
  <c r="J132" i="1"/>
  <c r="J124" i="1"/>
  <c r="J103" i="1"/>
  <c r="J118" i="1"/>
  <c r="J93" i="1"/>
  <c r="J85" i="1"/>
  <c r="J77" i="1"/>
  <c r="J69" i="1"/>
  <c r="J61" i="1"/>
  <c r="J53" i="1"/>
  <c r="J45" i="1"/>
  <c r="J35" i="1"/>
  <c r="J134" i="1"/>
  <c r="J126" i="1"/>
  <c r="J131" i="1"/>
  <c r="K131" i="1" s="1"/>
  <c r="J107" i="1"/>
  <c r="J102" i="1"/>
  <c r="J117" i="1"/>
  <c r="K117" i="1" s="1"/>
  <c r="J92" i="1"/>
  <c r="J84" i="1"/>
  <c r="J76" i="1"/>
  <c r="J68" i="1"/>
  <c r="J60" i="1"/>
  <c r="J52" i="1"/>
  <c r="J44" i="1"/>
  <c r="J34" i="1"/>
  <c r="J130" i="1"/>
  <c r="J122" i="1"/>
  <c r="J106" i="1"/>
  <c r="J101" i="1"/>
  <c r="J116" i="1"/>
  <c r="J91" i="1"/>
  <c r="J83" i="1"/>
  <c r="J75" i="1"/>
  <c r="J67" i="1"/>
  <c r="J59" i="1"/>
  <c r="J51" i="1"/>
  <c r="J43" i="1"/>
  <c r="J33" i="1"/>
  <c r="J87" i="1"/>
  <c r="J137" i="1"/>
  <c r="J129" i="1"/>
  <c r="K129" i="1" s="1"/>
  <c r="J110" i="1"/>
  <c r="J100" i="1"/>
  <c r="J115" i="1"/>
  <c r="J98" i="1"/>
  <c r="J74" i="1"/>
  <c r="J66" i="1"/>
  <c r="J58" i="1"/>
  <c r="J50" i="1"/>
  <c r="J42" i="1"/>
  <c r="J32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K118" i="1"/>
  <c r="K103" i="1"/>
  <c r="K120" i="1"/>
  <c r="K35" i="1"/>
  <c r="K44" i="1"/>
  <c r="K111" i="1"/>
  <c r="K113" i="1"/>
  <c r="K33" i="1"/>
  <c r="K135" i="1"/>
  <c r="K67" i="1"/>
  <c r="K76" i="1"/>
  <c r="K69" i="1"/>
  <c r="K62" i="1"/>
  <c r="K80" i="1"/>
  <c r="K37" i="1"/>
  <c r="K100" i="1"/>
  <c r="K81" i="1"/>
  <c r="K74" i="1"/>
  <c r="K59" i="1"/>
  <c r="K68" i="1"/>
  <c r="K61" i="1"/>
  <c r="K54" i="1"/>
  <c r="K105" i="1"/>
  <c r="K55" i="1"/>
  <c r="K72" i="1"/>
  <c r="K115" i="1"/>
  <c r="K79" i="1"/>
  <c r="K124" i="1"/>
  <c r="K75" i="1"/>
  <c r="K84" i="1"/>
  <c r="K77" i="1"/>
  <c r="K70" i="1"/>
  <c r="K87" i="1"/>
  <c r="K88" i="1"/>
  <c r="K122" i="1"/>
  <c r="K65" i="1"/>
  <c r="K32" i="1"/>
  <c r="K98" i="1"/>
  <c r="K132" i="1"/>
  <c r="K83" i="1"/>
  <c r="K92" i="1"/>
  <c r="K126" i="1"/>
  <c r="K85" i="1"/>
  <c r="K108" i="1"/>
  <c r="K78" i="1"/>
  <c r="K137" i="1"/>
  <c r="K96" i="1"/>
  <c r="K130" i="1"/>
  <c r="K41" i="1"/>
  <c r="K42" i="1"/>
  <c r="K91" i="1"/>
  <c r="K34" i="1"/>
  <c r="K112" i="1"/>
  <c r="K134" i="1"/>
  <c r="K93" i="1"/>
  <c r="K127" i="1"/>
  <c r="K86" i="1"/>
  <c r="K38" i="1"/>
  <c r="K116" i="1"/>
  <c r="K49" i="1"/>
  <c r="K63" i="1"/>
  <c r="K110" i="1"/>
  <c r="K128" i="1"/>
  <c r="K101" i="1"/>
  <c r="K58" i="1"/>
  <c r="K43" i="1"/>
  <c r="K119" i="1"/>
  <c r="K52" i="1"/>
  <c r="K45" i="1"/>
  <c r="K121" i="1"/>
  <c r="K36" i="1"/>
  <c r="K114" i="1"/>
  <c r="K136" i="1"/>
  <c r="K56" i="1"/>
  <c r="K106" i="1"/>
  <c r="K102" i="1"/>
  <c r="K97" i="1"/>
  <c r="K50" i="1"/>
  <c r="K48" i="1"/>
  <c r="K66" i="1"/>
  <c r="K51" i="1"/>
  <c r="K104" i="1"/>
  <c r="K60" i="1"/>
  <c r="K53" i="1"/>
  <c r="K46" i="1"/>
  <c r="K99" i="1"/>
  <c r="K47" i="1"/>
  <c r="K64" i="1"/>
  <c r="K107" i="1"/>
  <c r="B46" i="4"/>
  <c r="B45" i="4"/>
  <c r="B44" i="4"/>
  <c r="B42" i="4"/>
  <c r="B43" i="4"/>
  <c r="B26" i="4"/>
  <c r="B52" i="4"/>
  <c r="B51" i="4"/>
  <c r="B50" i="4"/>
  <c r="B49" i="4"/>
  <c r="B63" i="4"/>
  <c r="O120" i="1" l="1"/>
  <c r="B18" i="2" a="1"/>
  <c r="B18" i="2" s="1"/>
  <c r="D18" i="2" a="1"/>
  <c r="D18" i="2" s="1"/>
  <c r="O121" i="1"/>
  <c r="O119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<sst xmlns="http://schemas.openxmlformats.org/spreadsheetml/2006/main" count="2793" uniqueCount="627">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</sst>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1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18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4" fillId="0" borderId="0" xfId="1" applyFont="1" applyFill="1" applyBorder="1"/>
    <xf numFmtId="0" fontId="4" fillId="0" borderId="0" xfId="0" applyFont="1"/>
    <xf numFmtId="43" fontId="4" fillId="0" borderId="0" xfId="1" applyFont="1" applyFill="1" applyAlignment="1">
      <alignment horizontal="center"/>
    </xf>
    <xf numFmtId="49" fontId="4" fillId="0" borderId="0" xfId="1" applyNumberFormat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4" fillId="0" borderId="0" xfId="0" applyNumberFormat="1" applyFont="1"/>
    <xf numFmtId="1" fontId="4" fillId="0" borderId="0" xfId="1" applyNumberFormat="1" applyFont="1" applyFill="1"/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43" fontId="14" fillId="0" borderId="0" xfId="1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43" fontId="2" fillId="0" borderId="0" xfId="1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43" fontId="1" fillId="0" borderId="0" xfId="1" applyFont="1" applyFill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3" totalsRowShown="0" headerRowDxfId="59" dataDxfId="58">
  <autoFilter ref="A1:V153" xr:uid="{0EDF487B-BC6A-43CC-A5E2-F07346E1A4ED}">
    <filterColumn colId="8">
      <filters>
        <filter val="Open House Special"/>
      </filters>
    </filterColumn>
  </autoFilter>
  <sortState xmlns:xlrd2="http://schemas.microsoft.com/office/spreadsheetml/2017/richdata2" ref="A2:V137">
    <sortCondition ref="I1:I137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C28" sqref="C28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16" t="s">
        <v>497</v>
      </c>
      <c r="C3" s="117"/>
    </row>
    <row r="4" spans="1:8" ht="13.5" thickBot="1">
      <c r="A4" s="74"/>
    </row>
    <row r="5" spans="1:8" ht="13.5" thickBot="1">
      <c r="A5" s="74" t="s">
        <v>0</v>
      </c>
      <c r="B5" s="116">
        <v>2</v>
      </c>
      <c r="C5" s="11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16" t="s">
        <v>421</v>
      </c>
      <c r="C7" s="11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4679</v>
      </c>
      <c r="C13" s="82" t="s">
        <v>412</v>
      </c>
      <c r="D13" s="84" cm="1">
        <f t="array" ref="D13">IF($B$5=1,"",_xlfn.XLOOKUP($B$3&amp;$B$7,haList!A:A&amp;haList!I:I,haList!D:D))</f>
        <v>4679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-479</v>
      </c>
      <c r="C14" s="82" t="s">
        <v>538</v>
      </c>
      <c r="D14" s="68" cm="1">
        <f t="array" ref="D14">IF(B5=1,"",_xlfn.XLOOKUP($B$3,haList!$A:$A,-haList!$F:$F))</f>
        <v>-479</v>
      </c>
      <c r="E14" s="64"/>
      <c r="F14" s="64"/>
    </row>
    <row r="15" spans="1:8" ht="18" customHeight="1">
      <c r="A15" s="82" t="s">
        <v>587</v>
      </c>
      <c r="B15" s="83">
        <f>B13+B14</f>
        <v>4200</v>
      </c>
      <c r="C15" s="82" t="s">
        <v>587</v>
      </c>
      <c r="D15" s="85">
        <f>IF(B5=1,"",D13+D14)</f>
        <v>4200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-1025</v>
      </c>
      <c r="C16" s="82" t="s">
        <v>588</v>
      </c>
      <c r="D16" s="83" cm="1">
        <f t="array" ref="D16">IF(B5=1,"",_xlfn.XLOOKUP($B$3&amp;$B$7,haList!$A:$A&amp;haList!$I:$I,-haList!$J:$J))</f>
        <v>-1025</v>
      </c>
      <c r="E16" s="64"/>
      <c r="F16" s="64"/>
    </row>
    <row r="17" spans="1:9" ht="18" customHeight="1">
      <c r="A17" s="82" t="s">
        <v>589</v>
      </c>
      <c r="B17" s="83">
        <f>B15+B16</f>
        <v>3175</v>
      </c>
      <c r="C17" s="82" t="s">
        <v>589</v>
      </c>
      <c r="D17" s="85">
        <f>IF(B5=1,"",D15+D16)</f>
        <v>3175</v>
      </c>
      <c r="E17" s="64"/>
      <c r="F17" s="64"/>
    </row>
    <row r="18" spans="1:9" ht="18" customHeight="1">
      <c r="A18" s="82" t="s">
        <v>590</v>
      </c>
      <c r="B18" s="83" t="e" cm="1">
        <f t="array" ref="B18">IF($B$7="Open House Special",_xlfn.XLOOKUP($B$3&amp;"Marketing Offer",haList!$A:$A&amp;haList!$M:$M,-haList!$N:$N),0)</f>
        <v>#N/A</v>
      </c>
      <c r="C18" s="82" t="s">
        <v>590</v>
      </c>
      <c r="D18" s="83" t="e" cm="1">
        <f t="array" ref="D18">IF(B5=1,"",IF($B$7="Open House Special",_xlfn.XLOOKUP($B$3&amp;"Marketing Offer",haList!$A:$A&amp;haList!$M:$M,-haList!$N:$N),0))</f>
        <v>#N/A</v>
      </c>
      <c r="E18" s="64"/>
      <c r="F18" s="64"/>
    </row>
    <row r="19" spans="1:9" ht="18" customHeight="1" thickBot="1">
      <c r="A19" s="86" t="s">
        <v>591</v>
      </c>
      <c r="B19" s="87" t="e">
        <f>B17+B18</f>
        <v>#N/A</v>
      </c>
      <c r="C19" s="86" t="s">
        <v>591</v>
      </c>
      <c r="D19" s="88" t="e">
        <f>IF(B5=1,"",D17+D18)</f>
        <v>#N/A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 t="e">
        <f>B19</f>
        <v>#N/A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 t="e">
        <f>IF(B5=2,D19,0)</f>
        <v>#N/A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t="str" cm="1">
        <f t="array" ref="B25">IF($B$3="","",_xlfn.XLOOKUP($B$3&amp;$B$7,haList!$A:$A&amp;haList!$I:$I,haList!$T:$T))</f>
        <v>SureFit3 or M@RIE Receiver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 t="str">
        <f>IF($B$5=1,"",B25)</f>
        <v>SureFit3 or M@RIE Receiver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 t="e">
        <f>C22+C23+C24+C25+C26</f>
        <v>#N/A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 t="e">
        <f>C27+C28</f>
        <v>#N/A</v>
      </c>
      <c r="D29" s="94"/>
      <c r="E29" s="94"/>
      <c r="F29" s="65"/>
      <c r="H29" s="64"/>
    </row>
    <row r="30" spans="1:9" ht="18" customHeight="1">
      <c r="A30" s="115"/>
      <c r="B30" s="115"/>
      <c r="C30" s="11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 t="e">
        <f>C29</f>
        <v>#N/A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 t="e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#N/A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 t="e">
        <f>C33-C34</f>
        <v>#N/A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5"/>
  <sheetViews>
    <sheetView zoomScale="80" zoomScaleNormal="80" workbookViewId="0">
      <pane xSplit="1" ySplit="1" topLeftCell="C119" activePane="bottomRight" state="frozen"/>
      <selection pane="topRight" activeCell="B1" sqref="B1"/>
      <selection pane="bottomLeft" activeCell="A2" sqref="A2"/>
      <selection pane="bottomRight" activeCell="J119" sqref="J119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6258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9</v>
      </c>
      <c r="S4" s="40">
        <v>200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" t="s">
        <v>42</v>
      </c>
      <c r="B5" s="3" t="s">
        <v>67</v>
      </c>
      <c r="C5" s="60">
        <f>(HearingAids[[#This Row],[haMSRP]]*2)+HearingAids[[#This Row],[chargerPrice]]</f>
        <v>3920</v>
      </c>
      <c r="D5" s="8">
        <v>1960</v>
      </c>
      <c r="E5" s="52" t="s">
        <v>538</v>
      </c>
      <c r="F5" s="39">
        <f>HearingAids[[#This Row],[haMSRP]]-((HearingAids[[#This Row],[ListPriceBinural]]-HearingAids[[#This Row],[chargerPrice]])/2)</f>
        <v>410</v>
      </c>
      <c r="G5" s="39">
        <f>HearingAids[[#This Row],[haMSRP]]-HearingAids[[#This Row],[Discount Amount 1]]</f>
        <v>1550</v>
      </c>
      <c r="H5" s="40">
        <v>3100</v>
      </c>
      <c r="I5" s="70" t="s">
        <v>597</v>
      </c>
      <c r="J5" s="2">
        <v>0</v>
      </c>
      <c r="K5" s="2">
        <f>HearingAids[[#This Row],[HAListPrice]]-HearingAids[[#This Row],[Discount Amount 2]]</f>
        <v>1550</v>
      </c>
      <c r="L5" s="2"/>
      <c r="M5" s="2"/>
      <c r="N5" s="2"/>
      <c r="O5" s="2"/>
      <c r="P5" s="40"/>
      <c r="Q5" s="15">
        <v>1</v>
      </c>
      <c r="R5" s="2" t="s">
        <v>16</v>
      </c>
      <c r="S5" s="2">
        <v>0</v>
      </c>
      <c r="T5" s="10" t="s">
        <v>26</v>
      </c>
      <c r="U5" s="7">
        <v>0</v>
      </c>
      <c r="V5" s="12" t="s">
        <v>11</v>
      </c>
      <c r="Y5" s="25"/>
      <c r="Z5" s="25"/>
      <c r="AA5" s="25"/>
      <c r="AB5"/>
      <c r="AC5"/>
      <c r="AD5"/>
      <c r="AE5"/>
    </row>
    <row r="6" spans="1:31" ht="12.75" hidden="1">
      <c r="A6" s="3" t="s">
        <v>43</v>
      </c>
      <c r="B6" s="47" t="s">
        <v>509</v>
      </c>
      <c r="C6" s="57">
        <f>(HearingAids[[#This Row],[haMSRP]]*2)+HearingAids[[#This Row],[chargerPrice]]</f>
        <v>3920</v>
      </c>
      <c r="D6" s="8">
        <v>1960</v>
      </c>
      <c r="E6" s="52" t="s">
        <v>538</v>
      </c>
      <c r="F6" s="39">
        <f>HearingAids[[#This Row],[haMSRP]]-((HearingAids[[#This Row],[ListPriceBinural]]-HearingAids[[#This Row],[chargerPrice]])/2)</f>
        <v>410</v>
      </c>
      <c r="G6" s="39">
        <f>HearingAids[[#This Row],[haMSRP]]-HearingAids[[#This Row],[Discount Amount 1]]</f>
        <v>1550</v>
      </c>
      <c r="H6" s="40">
        <v>3100</v>
      </c>
      <c r="I6" s="70" t="s">
        <v>597</v>
      </c>
      <c r="J6" s="2">
        <v>0</v>
      </c>
      <c r="K6" s="2">
        <f>HearingAids[[#This Row],[HAListPrice]]-HearingAids[[#This Row],[Discount Amount 2]]</f>
        <v>1550</v>
      </c>
      <c r="L6" s="2"/>
      <c r="M6" s="2"/>
      <c r="N6" s="2"/>
      <c r="O6" s="2"/>
      <c r="P6" s="40"/>
      <c r="Q6" s="15">
        <v>1</v>
      </c>
      <c r="R6" s="2" t="s">
        <v>16</v>
      </c>
      <c r="S6" s="2">
        <v>0</v>
      </c>
      <c r="T6" s="10" t="s">
        <v>26</v>
      </c>
      <c r="U6" s="7">
        <v>0</v>
      </c>
      <c r="V6" s="12" t="s">
        <v>11</v>
      </c>
      <c r="Y6" s="25"/>
      <c r="Z6" s="25"/>
      <c r="AA6" s="25"/>
      <c r="AB6"/>
      <c r="AC6"/>
      <c r="AD6"/>
      <c r="AE6"/>
    </row>
    <row r="7" spans="1:31" ht="12.75" hidden="1">
      <c r="A7" s="3" t="s">
        <v>29</v>
      </c>
      <c r="B7" s="47" t="s">
        <v>521</v>
      </c>
      <c r="C7" s="57">
        <f>(HearingAids[[#This Row],[haMSRP]]*2)+HearingAids[[#This Row],[chargerPrice]]</f>
        <v>3920</v>
      </c>
      <c r="D7" s="8">
        <v>1960</v>
      </c>
      <c r="E7" s="52" t="s">
        <v>538</v>
      </c>
      <c r="F7" s="39">
        <f>HearingAids[[#This Row],[haMSRP]]-((HearingAids[[#This Row],[ListPriceBinural]]-HearingAids[[#This Row],[chargerPrice]])/2)</f>
        <v>410</v>
      </c>
      <c r="G7" s="39">
        <f>HearingAids[[#This Row],[haMSRP]]-HearingAids[[#This Row],[Discount Amount 1]]</f>
        <v>1550</v>
      </c>
      <c r="H7" s="40">
        <v>3100</v>
      </c>
      <c r="I7" s="70" t="s">
        <v>597</v>
      </c>
      <c r="J7" s="2">
        <v>0</v>
      </c>
      <c r="K7" s="2">
        <f>HearingAids[[#This Row],[HAListPrice]]-HearingAids[[#This Row],[Discount Amount 2]]</f>
        <v>1550</v>
      </c>
      <c r="L7" s="2"/>
      <c r="M7" s="2"/>
      <c r="N7" s="2"/>
      <c r="O7" s="2"/>
      <c r="P7" s="40"/>
      <c r="Q7" s="15">
        <v>1</v>
      </c>
      <c r="R7" s="2" t="s">
        <v>16</v>
      </c>
      <c r="S7" s="2">
        <v>0</v>
      </c>
      <c r="T7" s="10" t="s">
        <v>17</v>
      </c>
      <c r="U7" s="7">
        <v>0</v>
      </c>
      <c r="V7" s="2" t="s">
        <v>18</v>
      </c>
      <c r="Y7" s="25"/>
      <c r="Z7" s="25"/>
      <c r="AA7" s="25"/>
      <c r="AB7"/>
      <c r="AC7"/>
      <c r="AD7"/>
      <c r="AE7"/>
    </row>
    <row r="8" spans="1:31" ht="12.75" hidden="1">
      <c r="A8" s="3" t="s">
        <v>30</v>
      </c>
      <c r="B8" s="47" t="s">
        <v>522</v>
      </c>
      <c r="C8" s="57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17</v>
      </c>
      <c r="U8" s="7">
        <v>0</v>
      </c>
      <c r="V8" s="2" t="s">
        <v>18</v>
      </c>
      <c r="Y8" s="25"/>
      <c r="Z8" s="25"/>
      <c r="AA8" s="25"/>
      <c r="AB8"/>
      <c r="AC8"/>
      <c r="AD8"/>
      <c r="AE8"/>
    </row>
    <row r="9" spans="1:31" ht="12.75" hidden="1">
      <c r="A9" s="3" t="s">
        <v>31</v>
      </c>
      <c r="B9" s="47" t="s">
        <v>523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10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32</v>
      </c>
      <c r="B10" s="47" t="s">
        <v>524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10</v>
      </c>
      <c r="U10" s="7">
        <v>0</v>
      </c>
      <c r="V10" s="12" t="s">
        <v>11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38</v>
      </c>
      <c r="B11" s="47" t="s">
        <v>515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12</v>
      </c>
      <c r="U11" s="7">
        <v>0</v>
      </c>
      <c r="V11" s="2"/>
      <c r="Y11" s="25"/>
      <c r="Z11" s="25"/>
      <c r="AA11" s="25"/>
      <c r="AB11"/>
      <c r="AC11"/>
      <c r="AD11"/>
      <c r="AE11"/>
    </row>
    <row r="12" spans="1:31" ht="12.75" hidden="1">
      <c r="A12" s="3" t="s">
        <v>40</v>
      </c>
      <c r="B12" s="47" t="s">
        <v>518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12</v>
      </c>
      <c r="U12" s="7">
        <v>0</v>
      </c>
      <c r="V12" s="2"/>
      <c r="W12" s="7"/>
      <c r="Y12" s="25"/>
      <c r="Z12" s="25"/>
      <c r="AA12" s="25"/>
      <c r="AB12" s="21"/>
      <c r="AC12" s="21"/>
      <c r="AD12"/>
      <c r="AE12"/>
    </row>
    <row r="13" spans="1:31" ht="12.75" hidden="1">
      <c r="A13" s="3" t="s">
        <v>44</v>
      </c>
      <c r="B13" s="3" t="s">
        <v>68</v>
      </c>
      <c r="C13" s="60">
        <f>(HearingAids[[#This Row],[haMSRP]]*2)+HearingAids[[#This Row],[chargerPrice]]</f>
        <v>4690</v>
      </c>
      <c r="D13" s="8">
        <v>2345</v>
      </c>
      <c r="E13" s="52" t="s">
        <v>538</v>
      </c>
      <c r="F13" s="39">
        <f>HearingAids[[#This Row],[haMSRP]]-((HearingAids[[#This Row],[ListPriceBinural]]-HearingAids[[#This Row],[chargerPrice]])/2)</f>
        <v>595</v>
      </c>
      <c r="G13" s="39">
        <f>HearingAids[[#This Row],[haMSRP]]-HearingAids[[#This Row],[Discount Amount 1]]</f>
        <v>1750</v>
      </c>
      <c r="H13" s="40">
        <v>3500</v>
      </c>
      <c r="I13" s="70" t="s">
        <v>597</v>
      </c>
      <c r="J13" s="2">
        <v>0</v>
      </c>
      <c r="K13" s="2">
        <f>HearingAids[[#This Row],[HAListPrice]]-HearingAids[[#This Row],[Discount Amount 2]]</f>
        <v>1750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26</v>
      </c>
      <c r="U13" s="7">
        <v>0</v>
      </c>
      <c r="V13" s="12" t="s">
        <v>11</v>
      </c>
      <c r="W13" s="7"/>
      <c r="Y13" s="25"/>
      <c r="Z13" s="25"/>
      <c r="AA13" s="25"/>
      <c r="AB13" s="21"/>
      <c r="AC13" s="21"/>
      <c r="AD13"/>
      <c r="AE13"/>
    </row>
    <row r="14" spans="1:31" ht="12.75" hidden="1">
      <c r="A14" s="3" t="s">
        <v>406</v>
      </c>
      <c r="B14" s="3" t="s">
        <v>407</v>
      </c>
      <c r="C14" s="60">
        <f>(HearingAids[[#This Row],[haMSRP]]*2)+HearingAids[[#This Row],[chargerPrice]]</f>
        <v>4890</v>
      </c>
      <c r="D14" s="22">
        <v>2345</v>
      </c>
      <c r="E14" s="52" t="s">
        <v>538</v>
      </c>
      <c r="F14" s="39">
        <f>HearingAids[[#This Row],[haMSRP]]-((HearingAids[[#This Row],[ListPriceBinural]]-HearingAids[[#This Row],[chargerPrice]])/2)</f>
        <v>695</v>
      </c>
      <c r="G14" s="39">
        <f>HearingAids[[#This Row],[haMSRP]]-HearingAids[[#This Row],[Discount Amount 1]]</f>
        <v>1650</v>
      </c>
      <c r="H14" s="40">
        <v>3500</v>
      </c>
      <c r="I14" s="70" t="s">
        <v>597</v>
      </c>
      <c r="J14" s="2">
        <v>0</v>
      </c>
      <c r="K14" s="2">
        <f>HearingAids[[#This Row],[HAListPrice]]-HearingAids[[#This Row],[Discount Amount 2]]</f>
        <v>1650</v>
      </c>
      <c r="L14" s="2"/>
      <c r="M14" s="2"/>
      <c r="N14" s="2"/>
      <c r="O14" s="2"/>
      <c r="P14" s="40"/>
      <c r="Q14" s="23">
        <v>1</v>
      </c>
      <c r="R14" s="22" t="s">
        <v>9</v>
      </c>
      <c r="S14" s="22">
        <v>200</v>
      </c>
      <c r="T14" s="24" t="s">
        <v>26</v>
      </c>
      <c r="U14" s="25">
        <v>0</v>
      </c>
      <c r="V14" s="25" t="s">
        <v>11</v>
      </c>
      <c r="Y14" s="25"/>
      <c r="Z14" s="25"/>
      <c r="AA14" s="25"/>
      <c r="AB14"/>
      <c r="AC14" s="21"/>
      <c r="AD14"/>
      <c r="AE14"/>
    </row>
    <row r="15" spans="1:31" ht="12.75" hidden="1">
      <c r="A15" s="3" t="s">
        <v>45</v>
      </c>
      <c r="B15" s="47" t="s">
        <v>510</v>
      </c>
      <c r="C15" s="57">
        <f>(HearingAids[[#This Row],[haMSRP]]*2)+HearingAids[[#This Row],[chargerPrice]]</f>
        <v>4690</v>
      </c>
      <c r="D15" s="8">
        <v>2345</v>
      </c>
      <c r="E15" s="52" t="s">
        <v>538</v>
      </c>
      <c r="F15" s="39">
        <f>HearingAids[[#This Row],[haMSRP]]-((HearingAids[[#This Row],[ListPriceBinural]]-HearingAids[[#This Row],[chargerPrice]])/2)</f>
        <v>595</v>
      </c>
      <c r="G15" s="39">
        <f>HearingAids[[#This Row],[haMSRP]]-HearingAids[[#This Row],[Discount Amount 1]]</f>
        <v>1750</v>
      </c>
      <c r="H15" s="40">
        <v>3500</v>
      </c>
      <c r="I15" s="70" t="s">
        <v>597</v>
      </c>
      <c r="J15" s="2">
        <v>0</v>
      </c>
      <c r="K15" s="2">
        <f>HearingAids[[#This Row],[HAListPrice]]-HearingAids[[#This Row],[Discount Amount 2]]</f>
        <v>1750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26</v>
      </c>
      <c r="U15" s="7">
        <v>0</v>
      </c>
      <c r="V15" s="12" t="s">
        <v>11</v>
      </c>
      <c r="Y15" s="25"/>
      <c r="Z15" s="25"/>
      <c r="AA15" s="25"/>
      <c r="AB15"/>
      <c r="AC15" s="21"/>
      <c r="AD15"/>
      <c r="AE15"/>
    </row>
    <row r="16" spans="1:31" ht="12.75" hidden="1">
      <c r="A16" s="3" t="s">
        <v>33</v>
      </c>
      <c r="B16" s="47" t="s">
        <v>525</v>
      </c>
      <c r="C16" s="57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17</v>
      </c>
      <c r="U16" s="7">
        <v>0</v>
      </c>
      <c r="V16" s="2" t="s">
        <v>18</v>
      </c>
      <c r="Y16" s="25"/>
      <c r="Z16" s="25"/>
      <c r="AA16" s="25"/>
      <c r="AB16"/>
      <c r="AC16"/>
      <c r="AD16"/>
      <c r="AE16"/>
    </row>
    <row r="17" spans="1:31" ht="12.75" hidden="1">
      <c r="A17" s="3" t="s">
        <v>34</v>
      </c>
      <c r="B17" s="47" t="s">
        <v>526</v>
      </c>
      <c r="C17" s="57">
        <f>(HearingAids[[#This Row],[haMSRP]]*2)+HearingAids[[#This Row],[chargerPrice]]</f>
        <v>4690</v>
      </c>
      <c r="D17" s="8">
        <v>2345</v>
      </c>
      <c r="E17" s="52" t="s">
        <v>538</v>
      </c>
      <c r="F17" s="39">
        <f>HearingAids[[#This Row],[haMSRP]]-((HearingAids[[#This Row],[ListPriceBinural]]-HearingAids[[#This Row],[chargerPrice]])/2)</f>
        <v>595</v>
      </c>
      <c r="G17" s="39">
        <f>HearingAids[[#This Row],[haMSRP]]-HearingAids[[#This Row],[Discount Amount 1]]</f>
        <v>1750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1750</v>
      </c>
      <c r="L17" s="2"/>
      <c r="M17" s="2"/>
      <c r="N17" s="2"/>
      <c r="O17" s="2"/>
      <c r="P17" s="40"/>
      <c r="Q17" s="15">
        <v>1</v>
      </c>
      <c r="R17" s="2" t="s">
        <v>16</v>
      </c>
      <c r="S17" s="2">
        <v>0</v>
      </c>
      <c r="T17" s="10" t="s">
        <v>17</v>
      </c>
      <c r="U17" s="7">
        <v>0</v>
      </c>
      <c r="V17" s="2" t="s">
        <v>18</v>
      </c>
      <c r="Y17" s="25"/>
      <c r="Z17" s="25"/>
      <c r="AA17" s="25"/>
      <c r="AB17"/>
      <c r="AC17"/>
      <c r="AD17"/>
      <c r="AE17"/>
    </row>
    <row r="18" spans="1:31" ht="12.75" hidden="1">
      <c r="A18" s="3" t="s">
        <v>35</v>
      </c>
      <c r="B18" s="47" t="s">
        <v>527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10</v>
      </c>
      <c r="U18" s="7">
        <v>0</v>
      </c>
      <c r="V18" s="12" t="s">
        <v>11</v>
      </c>
      <c r="Y18" s="25"/>
      <c r="Z18" s="25"/>
      <c r="AA18" s="25"/>
      <c r="AB18"/>
      <c r="AC18"/>
      <c r="AD18"/>
      <c r="AE18"/>
    </row>
    <row r="19" spans="1:31" ht="12.75" hidden="1">
      <c r="A19" s="3" t="s">
        <v>36</v>
      </c>
      <c r="B19" s="47" t="s">
        <v>528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10</v>
      </c>
      <c r="U19" s="7">
        <v>0</v>
      </c>
      <c r="V19" s="12" t="s">
        <v>11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37</v>
      </c>
      <c r="B20" s="47" t="s">
        <v>512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12</v>
      </c>
      <c r="U20" s="7">
        <v>0</v>
      </c>
      <c r="V20" s="2"/>
      <c r="Y20" s="25"/>
      <c r="Z20" s="25"/>
      <c r="AA20" s="25"/>
      <c r="AC20"/>
      <c r="AD20"/>
      <c r="AE20"/>
    </row>
    <row r="21" spans="1:31" ht="12.75" hidden="1">
      <c r="A21" s="3" t="s">
        <v>39</v>
      </c>
      <c r="B21" s="47" t="s">
        <v>516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12</v>
      </c>
      <c r="U21" s="7">
        <v>0</v>
      </c>
      <c r="V21" s="2"/>
      <c r="Y21" s="25"/>
      <c r="Z21" s="25"/>
      <c r="AA21" s="25"/>
      <c r="AB21"/>
      <c r="AC21"/>
      <c r="AD21"/>
      <c r="AE21"/>
    </row>
    <row r="22" spans="1:31" ht="12.75" hidden="1">
      <c r="A22" s="3" t="s">
        <v>41</v>
      </c>
      <c r="B22" s="47" t="s">
        <v>519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12</v>
      </c>
      <c r="U22" s="7">
        <v>0</v>
      </c>
      <c r="V22" s="2"/>
      <c r="X22" s="25"/>
      <c r="Y22" s="25"/>
      <c r="Z22" s="25"/>
      <c r="AA22" s="25"/>
      <c r="AB22"/>
      <c r="AC22"/>
      <c r="AD22"/>
      <c r="AE22"/>
    </row>
    <row r="23" spans="1:31" ht="12.75" hidden="1">
      <c r="A23" s="3" t="s">
        <v>25</v>
      </c>
      <c r="B23" s="3" t="s">
        <v>66</v>
      </c>
      <c r="C23" s="60">
        <f>(HearingAids[[#This Row],[haMSRP]]*2)+HearingAids[[#This Row],[chargerPrice]]</f>
        <v>6258</v>
      </c>
      <c r="D23" s="39">
        <v>3029</v>
      </c>
      <c r="E23" s="52" t="s">
        <v>538</v>
      </c>
      <c r="F23" s="39">
        <f>HearingAids[[#This Row],[haMSRP]]-((HearingAids[[#This Row],[ListPriceBinural]]-HearingAids[[#This Row],[chargerPrice]])/2)</f>
        <v>804</v>
      </c>
      <c r="G23" s="39">
        <f>HearingAids[[#This Row],[haMSRP]]-HearingAids[[#This Row],[Discount Amount 1]]</f>
        <v>2225</v>
      </c>
      <c r="H23" s="40">
        <v>4650</v>
      </c>
      <c r="I23" s="70" t="s">
        <v>597</v>
      </c>
      <c r="J23" s="2">
        <v>0</v>
      </c>
      <c r="K23" s="2">
        <f>HearingAids[[#This Row],[HAListPrice]]-HearingAids[[#This Row],[Discount Amount 2]]</f>
        <v>2225</v>
      </c>
      <c r="L23" s="2"/>
      <c r="M23" s="2"/>
      <c r="N23" s="2"/>
      <c r="O23" s="2"/>
      <c r="P23" s="40"/>
      <c r="Q23" s="15">
        <v>1</v>
      </c>
      <c r="R23" s="2" t="s">
        <v>9</v>
      </c>
      <c r="S23" s="2">
        <v>200</v>
      </c>
      <c r="T23" s="10" t="s">
        <v>26</v>
      </c>
      <c r="U23" s="7">
        <v>0</v>
      </c>
      <c r="V23" s="12" t="s">
        <v>11</v>
      </c>
      <c r="X23" s="25"/>
      <c r="Y23" s="25"/>
      <c r="Z23" s="25"/>
      <c r="AA23" s="25"/>
      <c r="AB23"/>
      <c r="AC23"/>
      <c r="AD23"/>
      <c r="AE23"/>
    </row>
    <row r="24" spans="1:31" ht="12.75" hidden="1">
      <c r="A24" s="3" t="s">
        <v>27</v>
      </c>
      <c r="B24" s="47" t="s">
        <v>511</v>
      </c>
      <c r="C24" s="57">
        <f>(HearingAids[[#This Row],[haMSRP]]*2)+HearingAids[[#This Row],[chargerPrice]]</f>
        <v>6058</v>
      </c>
      <c r="D24" s="39">
        <v>3029</v>
      </c>
      <c r="E24" s="52" t="s">
        <v>538</v>
      </c>
      <c r="F24" s="39">
        <f>HearingAids[[#This Row],[haMSRP]]-((HearingAids[[#This Row],[ListPriceBinural]]-HearingAids[[#This Row],[chargerPrice]])/2)</f>
        <v>704</v>
      </c>
      <c r="G24" s="39">
        <f>HearingAids[[#This Row],[haMSRP]]-HearingAids[[#This Row],[Discount Amount 1]]</f>
        <v>2325</v>
      </c>
      <c r="H24" s="40">
        <v>4650</v>
      </c>
      <c r="I24" s="70" t="s">
        <v>597</v>
      </c>
      <c r="J24" s="2">
        <v>0</v>
      </c>
      <c r="K24" s="2">
        <f>HearingAids[[#This Row],[HAListPrice]]-HearingAids[[#This Row],[Discount Amount 2]]</f>
        <v>2325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26</v>
      </c>
      <c r="U24" s="7">
        <v>0</v>
      </c>
      <c r="V24" s="12" t="s">
        <v>11</v>
      </c>
      <c r="X24" s="25"/>
      <c r="Y24" s="25"/>
      <c r="Z24" s="25"/>
      <c r="AA24" s="25"/>
      <c r="AB24"/>
      <c r="AC24"/>
      <c r="AD24"/>
      <c r="AE24"/>
    </row>
    <row r="25" spans="1:31" ht="12.75" hidden="1">
      <c r="A25" s="3" t="s">
        <v>15</v>
      </c>
      <c r="B25" s="47" t="s">
        <v>529</v>
      </c>
      <c r="C25" s="57">
        <f>(HearingAids[[#This Row],[haMSRP]]*2)+HearingAids[[#This Row],[chargerPrice]]</f>
        <v>6058</v>
      </c>
      <c r="D25" s="39">
        <v>3029</v>
      </c>
      <c r="E25" s="52" t="s">
        <v>538</v>
      </c>
      <c r="F25" s="39">
        <f>HearingAids[[#This Row],[haMSRP]]-((HearingAids[[#This Row],[ListPriceBinural]]-HearingAids[[#This Row],[chargerPrice]])/2)</f>
        <v>704</v>
      </c>
      <c r="G25" s="39">
        <f>HearingAids[[#This Row],[haMSRP]]-HearingAids[[#This Row],[Discount Amount 1]]</f>
        <v>2325</v>
      </c>
      <c r="H25" s="40">
        <v>4650</v>
      </c>
      <c r="I25" s="70" t="s">
        <v>597</v>
      </c>
      <c r="J25" s="2">
        <v>0</v>
      </c>
      <c r="K25" s="2">
        <f>HearingAids[[#This Row],[HAListPrice]]-HearingAids[[#This Row],[Discount Amount 2]]</f>
        <v>2325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17</v>
      </c>
      <c r="U25" s="7">
        <v>0</v>
      </c>
      <c r="V25" s="2" t="s">
        <v>18</v>
      </c>
      <c r="Y25" s="25"/>
      <c r="Z25" s="25"/>
      <c r="AA25" s="25"/>
      <c r="AB25"/>
      <c r="AC25"/>
      <c r="AD25"/>
      <c r="AE25"/>
    </row>
    <row r="26" spans="1:31" ht="12.75" hidden="1">
      <c r="A26" s="3" t="s">
        <v>19</v>
      </c>
      <c r="B26" s="47" t="s">
        <v>530</v>
      </c>
      <c r="C26" s="57">
        <f>(HearingAids[[#This Row],[haMSRP]]*2)+HearingAids[[#This Row],[chargerPrice]]</f>
        <v>6058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704</v>
      </c>
      <c r="G26" s="39">
        <f>HearingAids[[#This Row],[haMSRP]]-HearingAids[[#This Row],[Discount Amount 1]]</f>
        <v>2325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2325</v>
      </c>
      <c r="L26" s="2"/>
      <c r="M26" s="2"/>
      <c r="N26" s="2"/>
      <c r="O26" s="2"/>
      <c r="P26" s="40"/>
      <c r="Q26" s="15">
        <v>1</v>
      </c>
      <c r="R26" s="2" t="s">
        <v>16</v>
      </c>
      <c r="S26" s="2">
        <v>0</v>
      </c>
      <c r="T26" s="10" t="s">
        <v>17</v>
      </c>
      <c r="U26" s="7">
        <v>0</v>
      </c>
      <c r="V26" s="2" t="s">
        <v>18</v>
      </c>
      <c r="Y26" s="25"/>
      <c r="Z26" s="25"/>
      <c r="AA26" s="25"/>
      <c r="AB26"/>
      <c r="AC26"/>
      <c r="AD26"/>
      <c r="AE26"/>
    </row>
    <row r="27" spans="1:31" ht="12.75" hidden="1">
      <c r="A27" s="3" t="s">
        <v>20</v>
      </c>
      <c r="B27" s="47" t="s">
        <v>531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10</v>
      </c>
      <c r="U27" s="7">
        <v>0</v>
      </c>
      <c r="V27" s="12" t="s">
        <v>11</v>
      </c>
      <c r="Y27" s="25"/>
      <c r="Z27" s="25"/>
      <c r="AA27" s="25"/>
      <c r="AB27"/>
      <c r="AC27"/>
      <c r="AD27"/>
      <c r="AE27"/>
    </row>
    <row r="28" spans="1:31" ht="12.75" hidden="1">
      <c r="A28" s="3" t="s">
        <v>21</v>
      </c>
      <c r="B28" s="47" t="s">
        <v>537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10</v>
      </c>
      <c r="U28" s="7">
        <v>0</v>
      </c>
      <c r="V28" s="12" t="s">
        <v>11</v>
      </c>
      <c r="Y28" s="25"/>
      <c r="Z28" s="25"/>
      <c r="AA28" s="25"/>
      <c r="AB28"/>
      <c r="AC28"/>
      <c r="AD28"/>
      <c r="AE28"/>
    </row>
    <row r="29" spans="1:31" ht="12.75" hidden="1">
      <c r="A29" s="3" t="s">
        <v>22</v>
      </c>
      <c r="B29" s="47" t="s">
        <v>513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12</v>
      </c>
      <c r="U29" s="7">
        <v>0</v>
      </c>
      <c r="V29" s="2"/>
      <c r="Y29" s="25"/>
      <c r="Z29" s="25"/>
      <c r="AA29" s="25"/>
      <c r="AB29"/>
      <c r="AC29"/>
      <c r="AD29"/>
      <c r="AE29"/>
    </row>
    <row r="30" spans="1:31" ht="12.75" hidden="1">
      <c r="A30" s="3" t="s">
        <v>23</v>
      </c>
      <c r="B30" s="47" t="s">
        <v>514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12</v>
      </c>
      <c r="U30" s="7">
        <v>0</v>
      </c>
      <c r="V30" s="2"/>
      <c r="Y30" s="25"/>
      <c r="Z30" s="25"/>
      <c r="AA30" s="25"/>
      <c r="AB30"/>
      <c r="AC30"/>
      <c r="AD30"/>
      <c r="AE30"/>
    </row>
    <row r="31" spans="1:31" ht="12.75" hidden="1">
      <c r="A31" s="3" t="s">
        <v>24</v>
      </c>
      <c r="B31" s="47" t="s">
        <v>517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12</v>
      </c>
      <c r="U31" s="7">
        <v>0</v>
      </c>
      <c r="V31" s="2"/>
      <c r="Y31" s="25"/>
      <c r="Z31" s="25"/>
      <c r="AA31" s="25"/>
      <c r="AB31"/>
      <c r="AC31"/>
      <c r="AD31"/>
      <c r="AE31"/>
    </row>
    <row r="32" spans="1:31" ht="12.75" hidden="1">
      <c r="A32" s="38" t="s">
        <v>500</v>
      </c>
      <c r="B32" s="47" t="s">
        <v>507</v>
      </c>
      <c r="C32" s="57">
        <f>(HearingAids[[#This Row],[haMSRP]]*2)+HearingAids[[#This Row],[chargerPrice]]</f>
        <v>4878</v>
      </c>
      <c r="D32" s="39">
        <v>2339</v>
      </c>
      <c r="E32" s="52" t="s">
        <v>538</v>
      </c>
      <c r="F32" s="39">
        <f>HearingAids[[#This Row],[haMSRP]]-((HearingAids[[#This Row],[ListPriceBinural]]-HearingAids[[#This Row],[chargerPrice]])/2)</f>
        <v>689</v>
      </c>
      <c r="G32" s="39">
        <f>HearingAids[[#This Row],[haMSRP]]-HearingAids[[#This Row],[Discount Amount 1]]</f>
        <v>1650</v>
      </c>
      <c r="H32" s="22">
        <v>3500</v>
      </c>
      <c r="I32" s="4" t="s">
        <v>8</v>
      </c>
      <c r="J32" s="2">
        <f>(HearingAids[[#This Row],[haMSRP]]-HearingAids[[#This Row],[Discount Amount 1]])-(HearingAids[[#This Row],[haNetPriceBinural]]-HearingAids[[#This Row],[chargerPrice]])/2</f>
        <v>55</v>
      </c>
      <c r="K32" s="2">
        <f>HearingAids[[#This Row],[HAListPrice]]-HearingAids[[#This Row],[Discount Amount 2]]</f>
        <v>1595</v>
      </c>
      <c r="L32" s="2">
        <v>3390</v>
      </c>
      <c r="M32" s="2"/>
      <c r="N32" s="2"/>
      <c r="O32" s="2"/>
      <c r="P32" s="22"/>
      <c r="Q32" s="23">
        <v>1</v>
      </c>
      <c r="R32" s="22" t="s">
        <v>9</v>
      </c>
      <c r="S32" s="22">
        <v>200</v>
      </c>
      <c r="T32" s="24" t="s">
        <v>26</v>
      </c>
      <c r="U32" s="25">
        <v>0</v>
      </c>
      <c r="V32" s="25" t="s">
        <v>11</v>
      </c>
      <c r="Y32" s="25"/>
      <c r="Z32" s="25"/>
      <c r="AA32" s="25"/>
      <c r="AB32"/>
      <c r="AC32"/>
      <c r="AD32"/>
      <c r="AE32"/>
    </row>
    <row r="33" spans="1:31" ht="12.75" hidden="1">
      <c r="A33" s="3" t="s">
        <v>413</v>
      </c>
      <c r="B33" s="37" t="s">
        <v>416</v>
      </c>
      <c r="C33" s="58">
        <f>(HearingAids[[#This Row],[haMSRP]]*2)+HearingAids[[#This Row],[chargerPrice]]</f>
        <v>11888</v>
      </c>
      <c r="D33" s="39">
        <v>5819</v>
      </c>
      <c r="E33" s="52" t="s">
        <v>538</v>
      </c>
      <c r="F33" s="39">
        <f>HearingAids[[#This Row],[haMSRP]]-((HearingAids[[#This Row],[ListPriceBinural]]-HearingAids[[#This Row],[chargerPrice]])/2)</f>
        <v>1019</v>
      </c>
      <c r="G33" s="39">
        <f>HearingAids[[#This Row],[haMSRP]]-HearingAids[[#This Row],[Discount Amount 1]]</f>
        <v>4800</v>
      </c>
      <c r="H33" s="2">
        <v>9850</v>
      </c>
      <c r="I33" s="4" t="s">
        <v>8</v>
      </c>
      <c r="J33" s="2">
        <f>(HearingAids[[#This Row],[haMSRP]]-HearingAids[[#This Row],[Discount Amount 1]])-(HearingAids[[#This Row],[haNetPriceBinural]]-HearingAids[[#This Row],[chargerPrice]])/2</f>
        <v>1580</v>
      </c>
      <c r="K33" s="2">
        <f>HearingAids[[#This Row],[HAListPrice]]-HearingAids[[#This Row],[Discount Amount 2]]</f>
        <v>3220</v>
      </c>
      <c r="L33" s="2">
        <v>6690</v>
      </c>
      <c r="M33" s="2"/>
      <c r="N33" s="2"/>
      <c r="O33" s="2"/>
      <c r="P33" s="2"/>
      <c r="Q33" s="15">
        <v>1</v>
      </c>
      <c r="R33" s="2" t="s">
        <v>13</v>
      </c>
      <c r="S33" s="2">
        <v>250</v>
      </c>
      <c r="T33" s="11" t="s">
        <v>14</v>
      </c>
      <c r="U33" s="2">
        <v>0</v>
      </c>
      <c r="V33" s="12" t="s">
        <v>11</v>
      </c>
      <c r="W33" s="7"/>
      <c r="Y33" s="25"/>
      <c r="Z33" s="25"/>
      <c r="AA33" s="25"/>
      <c r="AB33"/>
      <c r="AC33"/>
      <c r="AD33"/>
      <c r="AE33"/>
    </row>
    <row r="34" spans="1:31" ht="12.75" hidden="1">
      <c r="A34" s="3" t="s">
        <v>414</v>
      </c>
      <c r="B34" s="37" t="s">
        <v>417</v>
      </c>
      <c r="C34" s="58">
        <f>(HearingAids[[#This Row],[haMSRP]]*2)+HearingAids[[#This Row],[chargerPrice]]</f>
        <v>7628</v>
      </c>
      <c r="D34" s="39">
        <v>3689</v>
      </c>
      <c r="E34" s="52" t="s">
        <v>538</v>
      </c>
      <c r="F34" s="39">
        <f>HearingAids[[#This Row],[haMSRP]]-((HearingAids[[#This Row],[ListPriceBinural]]-HearingAids[[#This Row],[chargerPrice]])/2)</f>
        <v>219</v>
      </c>
      <c r="G34" s="39">
        <f>HearingAids[[#This Row],[haMSRP]]-HearingAids[[#This Row],[Discount Amount 1]]</f>
        <v>3470</v>
      </c>
      <c r="H34" s="2">
        <v>7190</v>
      </c>
      <c r="I34" s="4" t="s">
        <v>8</v>
      </c>
      <c r="J34" s="2">
        <f>(HearingAids[[#This Row],[haMSRP]]-HearingAids[[#This Row],[Discount Amount 1]])-(HearingAids[[#This Row],[haNetPriceBinural]]-HearingAids[[#This Row],[chargerPrice]])/2</f>
        <v>1150</v>
      </c>
      <c r="K34" s="2">
        <f>HearingAids[[#This Row],[HAListPrice]]-HearingAids[[#This Row],[Discount Amount 2]]</f>
        <v>2320</v>
      </c>
      <c r="L34" s="2">
        <v>4890</v>
      </c>
      <c r="M34" s="2"/>
      <c r="N34" s="2"/>
      <c r="O34" s="2"/>
      <c r="P34" s="2"/>
      <c r="Q34" s="15">
        <v>1</v>
      </c>
      <c r="R34" s="2" t="s">
        <v>13</v>
      </c>
      <c r="S34" s="2">
        <v>250</v>
      </c>
      <c r="T34" s="11" t="s">
        <v>14</v>
      </c>
      <c r="U34" s="2">
        <v>0</v>
      </c>
      <c r="V34" s="12" t="s">
        <v>11</v>
      </c>
      <c r="Y34" s="25"/>
      <c r="Z34" s="25"/>
      <c r="AA34" s="25"/>
      <c r="AB34"/>
      <c r="AC34"/>
      <c r="AD34"/>
      <c r="AE34"/>
    </row>
    <row r="35" spans="1:31" ht="12.75" hidden="1">
      <c r="A35" s="3" t="s">
        <v>415</v>
      </c>
      <c r="B35" s="37" t="s">
        <v>418</v>
      </c>
      <c r="C35" s="58">
        <f>(HearingAids[[#This Row],[haMSRP]]*2)+HearingAids[[#This Row],[chargerPrice]]</f>
        <v>9608</v>
      </c>
      <c r="D35" s="39">
        <v>4679</v>
      </c>
      <c r="E35" s="52" t="s">
        <v>538</v>
      </c>
      <c r="F35" s="39">
        <f>HearingAids[[#This Row],[haMSRP]]-((HearingAids[[#This Row],[ListPriceBinural]]-HearingAids[[#This Row],[chargerPrice]])/2)</f>
        <v>479</v>
      </c>
      <c r="G35" s="39">
        <f>HearingAids[[#This Row],[haMSRP]]-HearingAids[[#This Row],[Discount Amount 1]]</f>
        <v>4200</v>
      </c>
      <c r="H35" s="2">
        <v>8650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1480</v>
      </c>
      <c r="K35" s="2">
        <f>HearingAids[[#This Row],[HAListPrice]]-HearingAids[[#This Row],[Discount Amount 2]]</f>
        <v>2720</v>
      </c>
      <c r="L35" s="2">
        <v>5690</v>
      </c>
      <c r="M35" s="2"/>
      <c r="N35" s="2"/>
      <c r="O35" s="2"/>
      <c r="P35" s="2"/>
      <c r="Q35" s="15">
        <v>1</v>
      </c>
      <c r="R35" s="2" t="s">
        <v>13</v>
      </c>
      <c r="S35" s="2">
        <v>250</v>
      </c>
      <c r="T35" s="11" t="s">
        <v>14</v>
      </c>
      <c r="U35" s="2">
        <v>0</v>
      </c>
      <c r="V35" s="12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8" t="s">
        <v>496</v>
      </c>
      <c r="B36" s="46" t="s">
        <v>503</v>
      </c>
      <c r="C36" s="59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28</v>
      </c>
      <c r="J36" s="2">
        <f>(HearingAids[[#This Row],[haMSRP]]-HearingAids[[#This Row],[Discount Amount 1]])-(HearingAids[[#This Row],[haNetPriceBinural]]-HearingAids[[#This Row],[chargerPrice]])/2</f>
        <v>0</v>
      </c>
      <c r="K36" s="2">
        <f>HearingAids[[#This Row],[HAListPrice]]-HearingAids[[#This Row],[Discount Amount 2]]</f>
        <v>4800</v>
      </c>
      <c r="L36" s="2">
        <v>9850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Y36" s="25"/>
      <c r="Z36" s="25"/>
      <c r="AA36" s="25"/>
      <c r="AB36"/>
      <c r="AC36"/>
      <c r="AD36"/>
      <c r="AE36"/>
    </row>
    <row r="37" spans="1:31" ht="12.75" hidden="1">
      <c r="A37" s="38" t="s">
        <v>498</v>
      </c>
      <c r="B37" s="46" t="s">
        <v>505</v>
      </c>
      <c r="C37" s="59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28</v>
      </c>
      <c r="J37" s="2">
        <f>(HearingAids[[#This Row],[haMSRP]]-HearingAids[[#This Row],[Discount Amount 1]])-(HearingAids[[#This Row],[haNetPriceBinural]]-HearingAids[[#This Row],[chargerPrice]])/2</f>
        <v>0</v>
      </c>
      <c r="K37" s="2">
        <f>HearingAids[[#This Row],[HAListPrice]]-HearingAids[[#This Row],[Discount Amount 2]]</f>
        <v>3470</v>
      </c>
      <c r="L37" s="2">
        <v>7190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8" t="s">
        <v>497</v>
      </c>
      <c r="B38" s="46" t="s">
        <v>504</v>
      </c>
      <c r="C38" s="59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28</v>
      </c>
      <c r="J38" s="2">
        <f>(HearingAids[[#This Row],[haMSRP]]-HearingAids[[#This Row],[Discount Amount 1]])-(HearingAids[[#This Row],[haNetPriceBinural]]-HearingAids[[#This Row],[chargerPrice]])/2</f>
        <v>0</v>
      </c>
      <c r="K38" s="2">
        <f>HearingAids[[#This Row],[HAListPrice]]-HearingAids[[#This Row],[Discount Amount 2]]</f>
        <v>4200</v>
      </c>
      <c r="L38" s="2">
        <v>8650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54" t="s">
        <v>496</v>
      </c>
      <c r="B39" s="54" t="s">
        <v>503</v>
      </c>
      <c r="C39" s="62">
        <f>(HearingAids[[#This Row],[haMSRP]]*2)+HearingAids[[#This Row],[chargerPrice]]</f>
        <v>11888</v>
      </c>
      <c r="D39" s="52">
        <v>5819</v>
      </c>
      <c r="E39" s="52" t="s">
        <v>538</v>
      </c>
      <c r="F39" s="52">
        <f>HearingAids[[#This Row],[haMSRP]]-((HearingAids[[#This Row],[ListPriceBinural]]-HearingAids[[#This Row],[chargerPrice]])/2)</f>
        <v>1019</v>
      </c>
      <c r="G39" s="52">
        <f>HearingAids[[#This Row],[haMSRP]]-HearingAids[[#This Row],[Discount Amount 1]]</f>
        <v>4800</v>
      </c>
      <c r="H39" s="2">
        <v>9850</v>
      </c>
      <c r="I39" s="114" t="s">
        <v>626</v>
      </c>
      <c r="J39" s="53">
        <v>750</v>
      </c>
      <c r="K39" s="53">
        <f>HearingAids[[#This Row],[HAListPrice]]-HearingAids[[#This Row],[Discount Amount 2]]</f>
        <v>4050</v>
      </c>
      <c r="L39" s="53">
        <v>9350</v>
      </c>
      <c r="M39" s="72"/>
      <c r="N39" s="53"/>
      <c r="O39" s="55"/>
      <c r="P39" s="52">
        <v>8350</v>
      </c>
      <c r="Q39" s="63">
        <v>1</v>
      </c>
      <c r="R39" s="63" t="s">
        <v>13</v>
      </c>
      <c r="S39" s="63">
        <v>250</v>
      </c>
      <c r="T39" s="56" t="s">
        <v>14</v>
      </c>
      <c r="U39" s="56">
        <v>0</v>
      </c>
      <c r="V39" s="5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54" t="s">
        <v>497</v>
      </c>
      <c r="B40" s="54" t="s">
        <v>504</v>
      </c>
      <c r="C40" s="62">
        <f>(HearingAids[[#This Row],[haMSRP]]*2)+HearingAids[[#This Row],[chargerPrice]]</f>
        <v>9608</v>
      </c>
      <c r="D40" s="52">
        <v>4679</v>
      </c>
      <c r="E40" s="52" t="s">
        <v>538</v>
      </c>
      <c r="F40" s="52">
        <f>HearingAids[[#This Row],[haMSRP]]-((HearingAids[[#This Row],[ListPriceBinural]]-HearingAids[[#This Row],[chargerPrice]])/2)</f>
        <v>479</v>
      </c>
      <c r="G40" s="52">
        <f>HearingAids[[#This Row],[haMSRP]]-HearingAids[[#This Row],[Discount Amount 1]]</f>
        <v>4200</v>
      </c>
      <c r="H40" s="2">
        <v>8650</v>
      </c>
      <c r="I40" s="114" t="s">
        <v>626</v>
      </c>
      <c r="J40" s="53">
        <v>750</v>
      </c>
      <c r="K40" s="53">
        <f>HearingAids[[#This Row],[HAListPrice]]-HearingAids[[#This Row],[Discount Amount 2]]</f>
        <v>3450</v>
      </c>
      <c r="L40" s="53">
        <v>8150</v>
      </c>
      <c r="M40" s="72"/>
      <c r="N40" s="53"/>
      <c r="O40" s="55"/>
      <c r="P40" s="52">
        <v>7150</v>
      </c>
      <c r="Q40" s="63">
        <v>1</v>
      </c>
      <c r="R40" s="63" t="s">
        <v>13</v>
      </c>
      <c r="S40" s="63">
        <v>250</v>
      </c>
      <c r="T40" s="56" t="s">
        <v>14</v>
      </c>
      <c r="U40" s="56">
        <v>0</v>
      </c>
      <c r="V40" s="5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" t="s">
        <v>51</v>
      </c>
      <c r="B41" s="47" t="s">
        <v>520</v>
      </c>
      <c r="C41" s="57">
        <f>(HearingAids[[#This Row],[haMSRP]]*2)+HearingAids[[#This Row],[chargerPrice]]</f>
        <v>11638</v>
      </c>
      <c r="D41" s="39">
        <v>5819</v>
      </c>
      <c r="E41" s="52" t="s">
        <v>538</v>
      </c>
      <c r="F41" s="39">
        <f>HearingAids[[#This Row],[haMSRP]]-((HearingAids[[#This Row],[ListPriceBinural]]-HearingAids[[#This Row],[chargerPrice]])/2)</f>
        <v>894</v>
      </c>
      <c r="G41" s="39">
        <f>HearingAids[[#This Row],[haMSRP]]-HearingAids[[#This Row],[Discount Amount 1]]</f>
        <v>4925</v>
      </c>
      <c r="H41" s="2">
        <v>9850</v>
      </c>
      <c r="I41" s="45" t="s">
        <v>177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4925</v>
      </c>
      <c r="L41" s="2">
        <v>9850</v>
      </c>
      <c r="M41" s="2"/>
      <c r="N41" s="2"/>
      <c r="O41" s="2"/>
      <c r="P41" s="40"/>
      <c r="Q41" s="15">
        <v>1</v>
      </c>
      <c r="R41" s="2" t="s">
        <v>16</v>
      </c>
      <c r="S41" s="2">
        <v>0</v>
      </c>
      <c r="T41" s="10" t="s">
        <v>10</v>
      </c>
      <c r="U41" s="7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 hidden="1">
      <c r="A42" s="3" t="s">
        <v>52</v>
      </c>
      <c r="B42" s="47" t="s">
        <v>532</v>
      </c>
      <c r="C42" s="57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894</v>
      </c>
      <c r="G42" s="39">
        <f>HearingAids[[#This Row],[haMSRP]]-HearingAids[[#This Row],[Discount Amount 1]]</f>
        <v>4925</v>
      </c>
      <c r="H42" s="2">
        <v>9850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4925</v>
      </c>
      <c r="L42" s="2">
        <v>9850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 hidden="1">
      <c r="A43" s="3" t="s">
        <v>53</v>
      </c>
      <c r="B43" s="47" t="s">
        <v>533</v>
      </c>
      <c r="C43" s="57">
        <f>(HearingAids[[#This Row],[haMSRP]]*2)+HearingAids[[#This Row],[chargerPrice]]</f>
        <v>7378</v>
      </c>
      <c r="D43" s="39">
        <v>3689</v>
      </c>
      <c r="E43" s="52" t="s">
        <v>538</v>
      </c>
      <c r="F43" s="39">
        <f>HearingAids[[#This Row],[haMSRP]]-((HearingAids[[#This Row],[ListPriceBinural]]-HearingAids[[#This Row],[chargerPrice]])/2)</f>
        <v>94</v>
      </c>
      <c r="G43" s="39">
        <f>HearingAids[[#This Row],[haMSRP]]-HearingAids[[#This Row],[Discount Amount 1]]</f>
        <v>3595</v>
      </c>
      <c r="H43" s="2">
        <v>7190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3595</v>
      </c>
      <c r="L43" s="2">
        <v>7190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54</v>
      </c>
      <c r="B44" s="47" t="s">
        <v>534</v>
      </c>
      <c r="C44" s="57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94</v>
      </c>
      <c r="G44" s="39">
        <f>HearingAids[[#This Row],[haMSRP]]-HearingAids[[#This Row],[Discount Amount 1]]</f>
        <v>3595</v>
      </c>
      <c r="H44" s="2">
        <v>7190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3595</v>
      </c>
      <c r="L44" s="2">
        <v>7190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55</v>
      </c>
      <c r="B45" s="47" t="s">
        <v>535</v>
      </c>
      <c r="C45" s="57">
        <f>(HearingAids[[#This Row],[haMSRP]]*2)+HearingAids[[#This Row],[chargerPrice]]</f>
        <v>9358</v>
      </c>
      <c r="D45" s="39">
        <v>4679</v>
      </c>
      <c r="E45" s="52" t="s">
        <v>538</v>
      </c>
      <c r="F45" s="39">
        <f>HearingAids[[#This Row],[haMSRP]]-((HearingAids[[#This Row],[ListPriceBinural]]-HearingAids[[#This Row],[chargerPrice]])/2)</f>
        <v>354</v>
      </c>
      <c r="G45" s="39">
        <f>HearingAids[[#This Row],[haMSRP]]-HearingAids[[#This Row],[Discount Amount 1]]</f>
        <v>4325</v>
      </c>
      <c r="H45" s="2">
        <v>8650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4325</v>
      </c>
      <c r="L45" s="2">
        <v>8650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56</v>
      </c>
      <c r="B46" s="47" t="s">
        <v>536</v>
      </c>
      <c r="C46" s="57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354</v>
      </c>
      <c r="G46" s="39">
        <f>HearingAids[[#This Row],[haMSRP]]-HearingAids[[#This Row],[Discount Amount 1]]</f>
        <v>4325</v>
      </c>
      <c r="H46" s="2">
        <v>8650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4325</v>
      </c>
      <c r="L46" s="2">
        <v>8650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8" t="s">
        <v>501</v>
      </c>
      <c r="B47" s="47" t="s">
        <v>508</v>
      </c>
      <c r="C47" s="57">
        <f>(HearingAids[[#This Row],[haMSRP]]*2)+HearingAids[[#This Row],[chargerPrice]]</f>
        <v>3718</v>
      </c>
      <c r="D47" s="39">
        <v>1859</v>
      </c>
      <c r="E47" s="52" t="s">
        <v>538</v>
      </c>
      <c r="F47" s="39">
        <f>HearingAids[[#This Row],[haMSRP]]-((HearingAids[[#This Row],[ListPriceBinural]]-HearingAids[[#This Row],[chargerPrice]])/2)</f>
        <v>309</v>
      </c>
      <c r="G47" s="39">
        <f>HearingAids[[#This Row],[haMSRP]]-HearingAids[[#This Row],[Discount Amount 1]]</f>
        <v>1550</v>
      </c>
      <c r="H47" s="40">
        <v>3100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1550</v>
      </c>
      <c r="L47" s="40">
        <v>3100</v>
      </c>
      <c r="M47" s="40"/>
      <c r="N47" s="40"/>
      <c r="O47" s="40"/>
      <c r="P47" s="40"/>
      <c r="Q47" s="41">
        <v>1</v>
      </c>
      <c r="R47" s="2" t="s">
        <v>16</v>
      </c>
      <c r="S47" s="40">
        <v>0</v>
      </c>
      <c r="T47" s="43"/>
      <c r="U47" s="43"/>
      <c r="V47" s="39"/>
      <c r="Y47" s="25"/>
      <c r="Z47" s="25"/>
      <c r="AA47" s="25"/>
      <c r="AB47"/>
      <c r="AC47"/>
      <c r="AD47"/>
      <c r="AE47"/>
    </row>
    <row r="48" spans="1:31" ht="12.75" hidden="1">
      <c r="A48" s="38" t="s">
        <v>500</v>
      </c>
      <c r="B48" s="47" t="s">
        <v>507</v>
      </c>
      <c r="C48" s="57">
        <f>(HearingAids[[#This Row],[haMSRP]]*2)+HearingAids[[#This Row],[chargerPrice]]</f>
        <v>4878</v>
      </c>
      <c r="D48" s="39">
        <v>2339</v>
      </c>
      <c r="E48" s="52" t="s">
        <v>538</v>
      </c>
      <c r="F48" s="39">
        <f>HearingAids[[#This Row],[haMSRP]]-((HearingAids[[#This Row],[ListPriceBinural]]-HearingAids[[#This Row],[chargerPrice]])/2)</f>
        <v>689</v>
      </c>
      <c r="G48" s="39">
        <f>HearingAids[[#This Row],[haMSRP]]-HearingAids[[#This Row],[Discount Amount 1]]</f>
        <v>1650</v>
      </c>
      <c r="H48" s="22">
        <v>3500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1650</v>
      </c>
      <c r="L48" s="22">
        <v>3500</v>
      </c>
      <c r="M48" s="22"/>
      <c r="N48" s="22"/>
      <c r="O48" s="22"/>
      <c r="P48" s="40"/>
      <c r="Q48" s="41">
        <v>1</v>
      </c>
      <c r="R48" s="40" t="s">
        <v>9</v>
      </c>
      <c r="S48" s="40">
        <v>200</v>
      </c>
      <c r="T48" s="43"/>
      <c r="U48" s="43"/>
      <c r="V48" s="39"/>
      <c r="W48" s="2"/>
      <c r="Y48" s="25"/>
      <c r="Z48" s="25"/>
      <c r="AA48" s="25"/>
      <c r="AB48"/>
      <c r="AC48"/>
      <c r="AD48"/>
      <c r="AE48"/>
    </row>
    <row r="49" spans="1:32" ht="12.75" hidden="1">
      <c r="A49" s="38" t="s">
        <v>496</v>
      </c>
      <c r="B49" s="46" t="s">
        <v>503</v>
      </c>
      <c r="C49" s="59">
        <f>(HearingAids[[#This Row],[haMSRP]]*2)+HearingAids[[#This Row],[chargerPrice]]</f>
        <v>11888</v>
      </c>
      <c r="D49" s="39">
        <v>5819</v>
      </c>
      <c r="E49" s="52" t="s">
        <v>538</v>
      </c>
      <c r="F49" s="39">
        <f>HearingAids[[#This Row],[haMSRP]]-((HearingAids[[#This Row],[ListPriceBinural]]-HearingAids[[#This Row],[chargerPrice]])/2)</f>
        <v>1019</v>
      </c>
      <c r="G49" s="39">
        <f>HearingAids[[#This Row],[haMSRP]]-HearingAids[[#This Row],[Discount Amount 1]]</f>
        <v>4800</v>
      </c>
      <c r="H49" s="2">
        <v>9850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4800</v>
      </c>
      <c r="L49" s="2">
        <v>9850</v>
      </c>
      <c r="M49" s="2"/>
      <c r="N49" s="2"/>
      <c r="O49" s="2"/>
      <c r="P49" s="40"/>
      <c r="Q49" s="41">
        <v>1</v>
      </c>
      <c r="R49" s="40" t="s">
        <v>13</v>
      </c>
      <c r="S49" s="40">
        <v>250</v>
      </c>
      <c r="T49" s="42" t="s">
        <v>14</v>
      </c>
      <c r="U49" s="43">
        <v>0</v>
      </c>
      <c r="V49" s="39" t="s">
        <v>11</v>
      </c>
      <c r="W49" s="2"/>
      <c r="Y49" s="25"/>
      <c r="Z49" s="25"/>
      <c r="AA49" s="25"/>
      <c r="AB49"/>
      <c r="AC49"/>
      <c r="AD49"/>
      <c r="AE49"/>
    </row>
    <row r="50" spans="1:32" ht="12.75" hidden="1">
      <c r="A50" s="38" t="s">
        <v>499</v>
      </c>
      <c r="B50" s="47" t="s">
        <v>506</v>
      </c>
      <c r="C50" s="57">
        <f>(HearingAids[[#This Row],[haMSRP]]*2)+HearingAids[[#This Row],[chargerPrice]]</f>
        <v>6258</v>
      </c>
      <c r="D50" s="39">
        <v>3029</v>
      </c>
      <c r="E50" s="52" t="s">
        <v>538</v>
      </c>
      <c r="F50" s="39">
        <f>HearingAids[[#This Row],[haMSRP]]-((HearingAids[[#This Row],[ListPriceBinural]]-HearingAids[[#This Row],[chargerPrice]])/2)</f>
        <v>804</v>
      </c>
      <c r="G50" s="39">
        <f>HearingAids[[#This Row],[haMSRP]]-HearingAids[[#This Row],[Discount Amount 1]]</f>
        <v>2225</v>
      </c>
      <c r="H50" s="40">
        <v>4650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2225</v>
      </c>
      <c r="L50" s="40">
        <v>4650</v>
      </c>
      <c r="M50" s="40"/>
      <c r="N50" s="40"/>
      <c r="O50" s="40"/>
      <c r="P50" s="40"/>
      <c r="Q50" s="41">
        <v>1</v>
      </c>
      <c r="R50" s="98" t="s">
        <v>9</v>
      </c>
      <c r="S50" s="40">
        <v>200</v>
      </c>
      <c r="T50" s="43"/>
      <c r="U50" s="43"/>
      <c r="V50" s="39"/>
      <c r="W50" s="2"/>
      <c r="Y50" s="25"/>
      <c r="Z50" s="25"/>
      <c r="AA50" s="25"/>
      <c r="AB50"/>
      <c r="AC50"/>
      <c r="AD50"/>
      <c r="AE50"/>
    </row>
    <row r="51" spans="1:32" ht="12.75" hidden="1">
      <c r="A51" s="38" t="s">
        <v>497</v>
      </c>
      <c r="B51" s="46" t="s">
        <v>505</v>
      </c>
      <c r="C51" s="59">
        <f>(HearingAids[[#This Row],[haMSRP]]*2)+HearingAids[[#This Row],[chargerPrice]]</f>
        <v>9608</v>
      </c>
      <c r="D51" s="39">
        <v>4679</v>
      </c>
      <c r="E51" s="52" t="s">
        <v>538</v>
      </c>
      <c r="F51" s="39">
        <f>HearingAids[[#This Row],[haMSRP]]-((HearingAids[[#This Row],[ListPriceBinural]]-HearingAids[[#This Row],[chargerPrice]])/2)</f>
        <v>479</v>
      </c>
      <c r="G51" s="39">
        <f>HearingAids[[#This Row],[haMSRP]]-HearingAids[[#This Row],[Discount Amount 1]]</f>
        <v>4200</v>
      </c>
      <c r="H51" s="2">
        <v>8650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4200</v>
      </c>
      <c r="L51" s="2">
        <v>8650</v>
      </c>
      <c r="M51" s="2"/>
      <c r="N51" s="2"/>
      <c r="O51" s="2"/>
      <c r="P51" s="40"/>
      <c r="Q51" s="41">
        <v>1</v>
      </c>
      <c r="R51" s="40" t="s">
        <v>13</v>
      </c>
      <c r="S51" s="40">
        <v>250</v>
      </c>
      <c r="T51" s="42" t="s">
        <v>14</v>
      </c>
      <c r="U51" s="43">
        <v>0</v>
      </c>
      <c r="V51" s="39" t="s">
        <v>11</v>
      </c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498</v>
      </c>
      <c r="B52" s="46" t="s">
        <v>504</v>
      </c>
      <c r="C52" s="59">
        <f>(HearingAids[[#This Row],[haMSRP]]*2)+HearingAids[[#This Row],[chargerPrice]]</f>
        <v>7628</v>
      </c>
      <c r="D52" s="39">
        <v>3689</v>
      </c>
      <c r="E52" s="52" t="s">
        <v>538</v>
      </c>
      <c r="F52" s="39">
        <f>HearingAids[[#This Row],[haMSRP]]-((HearingAids[[#This Row],[ListPriceBinural]]-HearingAids[[#This Row],[chargerPrice]])/2)</f>
        <v>219</v>
      </c>
      <c r="G52" s="39">
        <f>HearingAids[[#This Row],[haMSRP]]-HearingAids[[#This Row],[Discount Amount 1]]</f>
        <v>3470</v>
      </c>
      <c r="H52" s="2">
        <v>7190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3470</v>
      </c>
      <c r="L52" s="2">
        <v>7190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" t="s">
        <v>42</v>
      </c>
      <c r="B53" s="3" t="s">
        <v>67</v>
      </c>
      <c r="C53" s="60">
        <f>(HearingAids[[#This Row],[haMSRP]]*2)+HearingAids[[#This Row],[chargerPrice]]</f>
        <v>3920</v>
      </c>
      <c r="D53" s="8">
        <v>1960</v>
      </c>
      <c r="E53" s="52" t="s">
        <v>538</v>
      </c>
      <c r="F53" s="39">
        <f>HearingAids[[#This Row],[haMSRP]]-((HearingAids[[#This Row],[ListPriceBinural]]-HearingAids[[#This Row],[chargerPrice]])/2)</f>
        <v>410</v>
      </c>
      <c r="G53" s="39">
        <f>HearingAids[[#This Row],[haMSRP]]-HearingAids[[#This Row],[Discount Amount 1]]</f>
        <v>1550</v>
      </c>
      <c r="H53" s="40">
        <v>3100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1550</v>
      </c>
      <c r="L53" s="40">
        <v>3100</v>
      </c>
      <c r="M53" s="40"/>
      <c r="N53" s="40"/>
      <c r="O53" s="40"/>
      <c r="P53" s="40"/>
      <c r="Q53" s="15">
        <v>1</v>
      </c>
      <c r="R53" s="2" t="s">
        <v>16</v>
      </c>
      <c r="S53" s="2">
        <v>0</v>
      </c>
      <c r="T53" s="10" t="s">
        <v>26</v>
      </c>
      <c r="U53" s="7">
        <v>0</v>
      </c>
      <c r="V53" s="12" t="s">
        <v>11</v>
      </c>
      <c r="W53" s="2"/>
      <c r="Y53" s="25"/>
      <c r="Z53" s="25"/>
      <c r="AA53" s="25"/>
      <c r="AB53"/>
      <c r="AC53"/>
      <c r="AD53"/>
      <c r="AE53"/>
    </row>
    <row r="54" spans="1:32" ht="12.75" hidden="1">
      <c r="A54" s="3" t="s">
        <v>43</v>
      </c>
      <c r="B54" s="47" t="s">
        <v>509</v>
      </c>
      <c r="C54" s="57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40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40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" t="s">
        <v>29</v>
      </c>
      <c r="B55" s="47" t="s">
        <v>521</v>
      </c>
      <c r="C55" s="57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40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40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17</v>
      </c>
      <c r="U55" s="7">
        <v>0</v>
      </c>
      <c r="V55" s="2" t="s">
        <v>18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30</v>
      </c>
      <c r="B56" s="47" t="s">
        <v>522</v>
      </c>
      <c r="C56" s="57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31</v>
      </c>
      <c r="B57" s="47" t="s">
        <v>523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10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32</v>
      </c>
      <c r="B58" s="47" t="s">
        <v>524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38</v>
      </c>
      <c r="B59" s="47" t="s">
        <v>515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12</v>
      </c>
      <c r="U59" s="7">
        <v>0</v>
      </c>
      <c r="V59" s="2"/>
      <c r="W59" s="2"/>
      <c r="Y59" s="25"/>
      <c r="Z59" s="25"/>
      <c r="AA59" s="25"/>
      <c r="AB59" s="21"/>
      <c r="AD59" s="25"/>
      <c r="AE59" s="25"/>
      <c r="AF59" s="25"/>
    </row>
    <row r="60" spans="1:32" ht="12.75" hidden="1">
      <c r="A60" s="3" t="s">
        <v>40</v>
      </c>
      <c r="B60" s="47" t="s">
        <v>518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 hidden="1">
      <c r="A61" s="3" t="s">
        <v>44</v>
      </c>
      <c r="B61" s="3" t="s">
        <v>68</v>
      </c>
      <c r="C61" s="60">
        <f>(HearingAids[[#This Row],[haMSRP]]*2)+HearingAids[[#This Row],[chargerPrice]]</f>
        <v>4690</v>
      </c>
      <c r="D61" s="8">
        <v>2345</v>
      </c>
      <c r="E61" s="52" t="s">
        <v>538</v>
      </c>
      <c r="F61" s="39">
        <f>HearingAids[[#This Row],[haMSRP]]-((HearingAids[[#This Row],[ListPriceBinural]]-HearingAids[[#This Row],[chargerPrice]])/2)</f>
        <v>595</v>
      </c>
      <c r="G61" s="39">
        <f>HearingAids[[#This Row],[haMSRP]]-HearingAids[[#This Row],[Discount Amount 1]]</f>
        <v>1750</v>
      </c>
      <c r="H61" s="40">
        <v>3500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1750</v>
      </c>
      <c r="L61" s="40">
        <v>3500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2" t="s">
        <v>11</v>
      </c>
      <c r="W61" s="2"/>
      <c r="Y61" s="25"/>
      <c r="Z61" s="25"/>
      <c r="AA61" s="25"/>
      <c r="AD61" s="25"/>
      <c r="AE61" s="25"/>
      <c r="AF61" s="25"/>
    </row>
    <row r="62" spans="1:32" ht="12.75" hidden="1">
      <c r="A62" s="3" t="s">
        <v>406</v>
      </c>
      <c r="B62" s="3" t="s">
        <v>407</v>
      </c>
      <c r="C62" s="60">
        <f>(HearingAids[[#This Row],[haMSRP]]*2)+HearingAids[[#This Row],[chargerPrice]]</f>
        <v>4890</v>
      </c>
      <c r="D62" s="22">
        <v>2345</v>
      </c>
      <c r="E62" s="52" t="s">
        <v>538</v>
      </c>
      <c r="F62" s="39">
        <f>HearingAids[[#This Row],[haMSRP]]-((HearingAids[[#This Row],[ListPriceBinural]]-HearingAids[[#This Row],[chargerPrice]])/2)</f>
        <v>695</v>
      </c>
      <c r="G62" s="39">
        <f>HearingAids[[#This Row],[haMSRP]]-HearingAids[[#This Row],[Discount Amount 1]]</f>
        <v>1650</v>
      </c>
      <c r="H62" s="40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1650</v>
      </c>
      <c r="L62" s="40">
        <v>3500</v>
      </c>
      <c r="M62" s="40"/>
      <c r="N62" s="40"/>
      <c r="O62" s="40"/>
      <c r="P62" s="40"/>
      <c r="Q62" s="23">
        <v>1</v>
      </c>
      <c r="R62" s="22" t="s">
        <v>9</v>
      </c>
      <c r="S62" s="22">
        <v>200</v>
      </c>
      <c r="T62" s="24" t="s">
        <v>26</v>
      </c>
      <c r="U62" s="25">
        <v>0</v>
      </c>
      <c r="V62" s="25" t="s">
        <v>11</v>
      </c>
      <c r="W62" s="7"/>
      <c r="Y62" s="25"/>
      <c r="Z62" s="25"/>
      <c r="AA62" s="25"/>
      <c r="AD62" s="25"/>
      <c r="AE62" s="25"/>
      <c r="AF62" s="25"/>
    </row>
    <row r="63" spans="1:32" ht="12.75" hidden="1">
      <c r="A63" s="3" t="s">
        <v>45</v>
      </c>
      <c r="B63" s="47" t="s">
        <v>510</v>
      </c>
      <c r="C63" s="57">
        <f>(HearingAids[[#This Row],[haMSRP]]*2)+HearingAids[[#This Row],[chargerPrice]]</f>
        <v>4690</v>
      </c>
      <c r="D63" s="8">
        <v>2345</v>
      </c>
      <c r="E63" s="52" t="s">
        <v>538</v>
      </c>
      <c r="F63" s="39">
        <f>HearingAids[[#This Row],[haMSRP]]-((HearingAids[[#This Row],[ListPriceBinural]]-HearingAids[[#This Row],[chargerPrice]])/2)</f>
        <v>595</v>
      </c>
      <c r="G63" s="39">
        <f>HearingAids[[#This Row],[haMSRP]]-HearingAids[[#This Row],[Discount Amount 1]]</f>
        <v>1750</v>
      </c>
      <c r="H63" s="40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1750</v>
      </c>
      <c r="L63" s="40">
        <v>3500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26</v>
      </c>
      <c r="U63" s="7">
        <v>0</v>
      </c>
      <c r="V63" s="12" t="s">
        <v>11</v>
      </c>
      <c r="W63" s="7"/>
      <c r="Y63" s="25"/>
      <c r="Z63" s="25"/>
      <c r="AA63" s="25"/>
      <c r="AB63"/>
      <c r="AC63"/>
      <c r="AD63"/>
      <c r="AE63"/>
    </row>
    <row r="64" spans="1:32" ht="12.75" hidden="1">
      <c r="A64" s="3" t="s">
        <v>33</v>
      </c>
      <c r="B64" s="47" t="s">
        <v>525</v>
      </c>
      <c r="C64" s="57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2" t="s">
        <v>18</v>
      </c>
      <c r="W64" s="7"/>
      <c r="Y64" s="25"/>
      <c r="Z64" s="25"/>
      <c r="AA64" s="25"/>
      <c r="AB64"/>
      <c r="AC64"/>
      <c r="AD64"/>
      <c r="AE64"/>
    </row>
    <row r="65" spans="1:31" ht="12.75" hidden="1">
      <c r="A65" s="3" t="s">
        <v>34</v>
      </c>
      <c r="B65" s="47" t="s">
        <v>526</v>
      </c>
      <c r="C65" s="57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40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 hidden="1">
      <c r="A66" s="3" t="s">
        <v>35</v>
      </c>
      <c r="B66" s="47" t="s">
        <v>527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1" ht="12.75" hidden="1">
      <c r="A67" s="3" t="s">
        <v>36</v>
      </c>
      <c r="B67" s="47" t="s">
        <v>528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 hidden="1">
      <c r="A68" s="3" t="s">
        <v>37</v>
      </c>
      <c r="B68" s="47" t="s">
        <v>512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2"/>
      <c r="W68" s="7"/>
      <c r="Y68" s="25"/>
      <c r="Z68" s="25"/>
      <c r="AA68" s="25"/>
      <c r="AB68"/>
      <c r="AC68"/>
      <c r="AD68"/>
      <c r="AE68"/>
    </row>
    <row r="69" spans="1:31" ht="12.75" hidden="1">
      <c r="A69" s="3" t="s">
        <v>39</v>
      </c>
      <c r="B69" s="47" t="s">
        <v>516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 hidden="1">
      <c r="A70" s="3" t="s">
        <v>41</v>
      </c>
      <c r="B70" s="47" t="s">
        <v>519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 hidden="1">
      <c r="A71" s="3" t="s">
        <v>25</v>
      </c>
      <c r="B71" s="3" t="s">
        <v>66</v>
      </c>
      <c r="C71" s="60">
        <f>(HearingAids[[#This Row],[haMSRP]]*2)+HearingAids[[#This Row],[chargerPrice]]</f>
        <v>6258</v>
      </c>
      <c r="D71" s="39">
        <v>3029</v>
      </c>
      <c r="E71" s="52" t="s">
        <v>538</v>
      </c>
      <c r="F71" s="39">
        <f>HearingAids[[#This Row],[haMSRP]]-((HearingAids[[#This Row],[ListPriceBinural]]-HearingAids[[#This Row],[chargerPrice]])/2)</f>
        <v>804</v>
      </c>
      <c r="G71" s="39">
        <f>HearingAids[[#This Row],[haMSRP]]-HearingAids[[#This Row],[Discount Amount 1]]</f>
        <v>2225</v>
      </c>
      <c r="H71" s="40">
        <v>4650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2225</v>
      </c>
      <c r="L71" s="40">
        <v>4650</v>
      </c>
      <c r="M71" s="40"/>
      <c r="N71" s="40"/>
      <c r="O71" s="40"/>
      <c r="P71" s="40"/>
      <c r="Q71" s="15">
        <v>1</v>
      </c>
      <c r="R71" s="2" t="s">
        <v>9</v>
      </c>
      <c r="S71" s="2">
        <v>200</v>
      </c>
      <c r="T71" s="10" t="s">
        <v>26</v>
      </c>
      <c r="U71" s="7">
        <v>0</v>
      </c>
      <c r="V71" s="12" t="s">
        <v>11</v>
      </c>
      <c r="W71" s="7"/>
      <c r="Y71" s="25"/>
      <c r="Z71" s="25"/>
      <c r="AA71" s="25"/>
      <c r="AB71"/>
      <c r="AC71"/>
      <c r="AD71"/>
      <c r="AE71"/>
    </row>
    <row r="72" spans="1:31" ht="12.75" hidden="1">
      <c r="A72" s="3" t="s">
        <v>27</v>
      </c>
      <c r="B72" s="47" t="s">
        <v>511</v>
      </c>
      <c r="C72" s="57">
        <f>(HearingAids[[#This Row],[haMSRP]]*2)+HearingAids[[#This Row],[chargerPrice]]</f>
        <v>6058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704</v>
      </c>
      <c r="G72" s="39">
        <f>HearingAids[[#This Row],[haMSRP]]-HearingAids[[#This Row],[Discount Amount 1]]</f>
        <v>2325</v>
      </c>
      <c r="H72" s="40">
        <v>4650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2325</v>
      </c>
      <c r="L72" s="40">
        <v>4650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 hidden="1">
      <c r="A73" s="3" t="s">
        <v>15</v>
      </c>
      <c r="B73" s="47" t="s">
        <v>529</v>
      </c>
      <c r="C73" s="57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704</v>
      </c>
      <c r="G73" s="39">
        <f>HearingAids[[#This Row],[haMSRP]]-HearingAids[[#This Row],[Discount Amount 1]]</f>
        <v>2325</v>
      </c>
      <c r="H73" s="40">
        <v>4650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2325</v>
      </c>
      <c r="L73" s="40">
        <v>4650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2" t="s">
        <v>18</v>
      </c>
      <c r="W73" s="7"/>
      <c r="Y73" s="25"/>
      <c r="Z73" s="25"/>
      <c r="AA73" s="25"/>
      <c r="AB73"/>
      <c r="AC73"/>
      <c r="AD73"/>
      <c r="AE73"/>
    </row>
    <row r="74" spans="1:31" ht="12.75" hidden="1">
      <c r="A74" s="3" t="s">
        <v>19</v>
      </c>
      <c r="B74" s="47" t="s">
        <v>530</v>
      </c>
      <c r="C74" s="57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704</v>
      </c>
      <c r="G74" s="39">
        <f>HearingAids[[#This Row],[haMSRP]]-HearingAids[[#This Row],[Discount Amount 1]]</f>
        <v>2325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2325</v>
      </c>
      <c r="L74" s="40">
        <v>4650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 hidden="1">
      <c r="A75" s="3" t="s">
        <v>20</v>
      </c>
      <c r="B75" s="47" t="s">
        <v>531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1" ht="12.75" hidden="1">
      <c r="A76" s="3" t="s">
        <v>21</v>
      </c>
      <c r="B76" s="47" t="s">
        <v>537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 hidden="1">
      <c r="A77" s="3" t="s">
        <v>22</v>
      </c>
      <c r="B77" s="47" t="s">
        <v>513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2"/>
      <c r="W77" s="7"/>
      <c r="Y77" s="25"/>
      <c r="Z77" s="25"/>
      <c r="AA77" s="25"/>
      <c r="AB77"/>
      <c r="AC77"/>
      <c r="AD77"/>
      <c r="AE77"/>
    </row>
    <row r="78" spans="1:31" ht="12.75" hidden="1">
      <c r="A78" s="3" t="s">
        <v>23</v>
      </c>
      <c r="B78" s="47" t="s">
        <v>514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 hidden="1">
      <c r="A79" s="3" t="s">
        <v>24</v>
      </c>
      <c r="B79" s="47" t="s">
        <v>517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 hidden="1">
      <c r="A80" s="3" t="s">
        <v>413</v>
      </c>
      <c r="B80" s="37" t="s">
        <v>416</v>
      </c>
      <c r="C80" s="58">
        <f>(HearingAids[[#This Row],[haMSRP]]*2)+HearingAids[[#This Row],[chargerPrice]]</f>
        <v>11888</v>
      </c>
      <c r="D80" s="39">
        <v>5819</v>
      </c>
      <c r="E80" s="52" t="s">
        <v>538</v>
      </c>
      <c r="F80" s="39">
        <f>HearingAids[[#This Row],[haMSRP]]-((HearingAids[[#This Row],[ListPriceBinural]]-HearingAids[[#This Row],[chargerPrice]])/2)</f>
        <v>1019</v>
      </c>
      <c r="G80" s="39">
        <f>HearingAids[[#This Row],[haMSRP]]-HearingAids[[#This Row],[Discount Amount 1]]</f>
        <v>4800</v>
      </c>
      <c r="H80" s="2">
        <v>9850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4800</v>
      </c>
      <c r="L80" s="2">
        <v>9850</v>
      </c>
      <c r="M80" s="2"/>
      <c r="N80" s="2"/>
      <c r="O80" s="2"/>
      <c r="P80" s="40"/>
      <c r="Q80" s="15">
        <v>1</v>
      </c>
      <c r="R80" s="2" t="s">
        <v>13</v>
      </c>
      <c r="S80" s="2">
        <v>250</v>
      </c>
      <c r="T80" s="11" t="s">
        <v>14</v>
      </c>
      <c r="U80" s="2">
        <v>0</v>
      </c>
      <c r="V80" s="12" t="s">
        <v>11</v>
      </c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414</v>
      </c>
      <c r="B81" s="37" t="s">
        <v>417</v>
      </c>
      <c r="C81" s="58">
        <f>(HearingAids[[#This Row],[haMSRP]]*2)+HearingAids[[#This Row],[chargerPrice]]</f>
        <v>7628</v>
      </c>
      <c r="D81" s="39">
        <v>3689</v>
      </c>
      <c r="E81" s="52" t="s">
        <v>538</v>
      </c>
      <c r="F81" s="39">
        <f>HearingAids[[#This Row],[haMSRP]]-((HearingAids[[#This Row],[ListPriceBinural]]-HearingAids[[#This Row],[chargerPrice]])/2)</f>
        <v>219</v>
      </c>
      <c r="G81" s="39">
        <f>HearingAids[[#This Row],[haMSRP]]-HearingAids[[#This Row],[Discount Amount 1]]</f>
        <v>3470</v>
      </c>
      <c r="H81" s="2">
        <v>7190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3470</v>
      </c>
      <c r="L81" s="2">
        <v>7190</v>
      </c>
      <c r="M81" s="2"/>
      <c r="N81" s="2"/>
      <c r="O81" s="2"/>
      <c r="P81" s="40"/>
      <c r="Q81" s="15">
        <v>1</v>
      </c>
      <c r="R81" s="2" t="s">
        <v>13</v>
      </c>
      <c r="S81" s="2">
        <v>250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415</v>
      </c>
      <c r="B82" s="37" t="s">
        <v>418</v>
      </c>
      <c r="C82" s="58">
        <f>(HearingAids[[#This Row],[haMSRP]]*2)+HearingAids[[#This Row],[chargerPrice]]</f>
        <v>9608</v>
      </c>
      <c r="D82" s="39">
        <v>4679</v>
      </c>
      <c r="E82" s="52" t="s">
        <v>538</v>
      </c>
      <c r="F82" s="39">
        <f>HearingAids[[#This Row],[haMSRP]]-((HearingAids[[#This Row],[ListPriceBinural]]-HearingAids[[#This Row],[chargerPrice]])/2)</f>
        <v>479</v>
      </c>
      <c r="G82" s="39">
        <f>HearingAids[[#This Row],[haMSRP]]-HearingAids[[#This Row],[Discount Amount 1]]</f>
        <v>4200</v>
      </c>
      <c r="H82" s="2">
        <v>8650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4200</v>
      </c>
      <c r="L82" s="2">
        <v>8650</v>
      </c>
      <c r="M82" s="2"/>
      <c r="N82" s="2"/>
      <c r="O82" s="2"/>
      <c r="P82" s="40"/>
      <c r="Q82" s="15">
        <v>1</v>
      </c>
      <c r="R82" s="2" t="s">
        <v>13</v>
      </c>
      <c r="S82" s="2">
        <v>250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 hidden="1">
      <c r="A83" s="38" t="s">
        <v>500</v>
      </c>
      <c r="B83" s="47" t="s">
        <v>507</v>
      </c>
      <c r="C83" s="57">
        <f>(HearingAids[[#This Row],[haMSRP]]*2)+HearingAids[[#This Row],[chargerPrice]]</f>
        <v>4878</v>
      </c>
      <c r="D83" s="39">
        <v>2339</v>
      </c>
      <c r="E83" s="52" t="s">
        <v>538</v>
      </c>
      <c r="F83" s="39">
        <f>HearingAids[[#This Row],[haMSRP]]-((HearingAids[[#This Row],[ListPriceBinural]]-HearingAids[[#This Row],[chargerPrice]])/2)</f>
        <v>689</v>
      </c>
      <c r="G83" s="39">
        <f>HearingAids[[#This Row],[haMSRP]]-HearingAids[[#This Row],[Discount Amount 1]]</f>
        <v>1650</v>
      </c>
      <c r="H83" s="22">
        <v>3500</v>
      </c>
      <c r="I83" s="44" t="s">
        <v>502</v>
      </c>
      <c r="J83" s="2">
        <f>(HearingAids[[#This Row],[haMSRP]]-HearingAids[[#This Row],[Discount Amount 1]])-(HearingAids[[#This Row],[haNetPriceBinural]]-HearingAids[[#This Row],[chargerPrice]])/2</f>
        <v>55</v>
      </c>
      <c r="K83" s="2">
        <f>HearingAids[[#This Row],[HAListPrice]]-HearingAids[[#This Row],[Discount Amount 2]]</f>
        <v>1595</v>
      </c>
      <c r="L83" s="2">
        <v>3390</v>
      </c>
      <c r="M83" s="2"/>
      <c r="N83" s="2"/>
      <c r="O83" s="2"/>
      <c r="P83" s="22"/>
      <c r="Q83" s="23">
        <v>1</v>
      </c>
      <c r="R83" s="22" t="s">
        <v>9</v>
      </c>
      <c r="S83" s="22">
        <v>200</v>
      </c>
      <c r="T83" s="24" t="s">
        <v>26</v>
      </c>
      <c r="U83" s="25">
        <v>0</v>
      </c>
      <c r="V83" s="25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413</v>
      </c>
      <c r="B84" s="37" t="s">
        <v>416</v>
      </c>
      <c r="C84" s="58">
        <f>(HearingAids[[#This Row],[haMSRP]]*2)+HearingAids[[#This Row],[chargerPrice]]</f>
        <v>11888</v>
      </c>
      <c r="D84" s="39">
        <v>5819</v>
      </c>
      <c r="E84" s="52" t="s">
        <v>538</v>
      </c>
      <c r="F84" s="39">
        <f>HearingAids[[#This Row],[haMSRP]]-((HearingAids[[#This Row],[ListPriceBinural]]-HearingAids[[#This Row],[chargerPrice]])/2)</f>
        <v>1019</v>
      </c>
      <c r="G84" s="39">
        <f>HearingAids[[#This Row],[haMSRP]]-HearingAids[[#This Row],[Discount Amount 1]]</f>
        <v>4800</v>
      </c>
      <c r="H84" s="2">
        <v>9850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1580</v>
      </c>
      <c r="K84" s="2">
        <f>HearingAids[[#This Row],[HAListPrice]]-HearingAids[[#This Row],[Discount Amount 2]]</f>
        <v>3220</v>
      </c>
      <c r="L84" s="2">
        <v>6690</v>
      </c>
      <c r="M84" s="2"/>
      <c r="N84" s="2"/>
      <c r="O84" s="2"/>
      <c r="P84" s="2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414</v>
      </c>
      <c r="B85" s="37" t="s">
        <v>417</v>
      </c>
      <c r="C85" s="58">
        <f>(HearingAids[[#This Row],[haMSRP]]*2)+HearingAids[[#This Row],[chargerPrice]]</f>
        <v>7628</v>
      </c>
      <c r="D85" s="39">
        <v>3689</v>
      </c>
      <c r="E85" s="52" t="s">
        <v>538</v>
      </c>
      <c r="F85" s="39">
        <f>HearingAids[[#This Row],[haMSRP]]-((HearingAids[[#This Row],[ListPriceBinural]]-HearingAids[[#This Row],[chargerPrice]])/2)</f>
        <v>219</v>
      </c>
      <c r="G85" s="39">
        <f>HearingAids[[#This Row],[haMSRP]]-HearingAids[[#This Row],[Discount Amount 1]]</f>
        <v>3470</v>
      </c>
      <c r="H85" s="2">
        <v>7190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1150</v>
      </c>
      <c r="K85" s="2">
        <f>HearingAids[[#This Row],[HAListPrice]]-HearingAids[[#This Row],[Discount Amount 2]]</f>
        <v>2320</v>
      </c>
      <c r="L85" s="2">
        <v>4890</v>
      </c>
      <c r="M85" s="2"/>
      <c r="N85" s="2"/>
      <c r="O85" s="2"/>
      <c r="P85" s="2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" t="s">
        <v>415</v>
      </c>
      <c r="B86" s="3" t="s">
        <v>418</v>
      </c>
      <c r="C86" s="60">
        <f>(HearingAids[[#This Row],[haMSRP]]*2)+HearingAids[[#This Row],[chargerPrice]]</f>
        <v>9608</v>
      </c>
      <c r="D86" s="39">
        <v>4679</v>
      </c>
      <c r="E86" s="52" t="s">
        <v>538</v>
      </c>
      <c r="F86" s="39">
        <f>HearingAids[[#This Row],[haMSRP]]-((HearingAids[[#This Row],[ListPriceBinural]]-HearingAids[[#This Row],[chargerPrice]])/2)</f>
        <v>479</v>
      </c>
      <c r="G86" s="39">
        <f>HearingAids[[#This Row],[haMSRP]]-HearingAids[[#This Row],[Discount Amount 1]]</f>
        <v>4200</v>
      </c>
      <c r="H86" s="2">
        <v>8650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1480</v>
      </c>
      <c r="K86" s="2">
        <f>HearingAids[[#This Row],[HAListPrice]]-HearingAids[[#This Row],[Discount Amount 2]]</f>
        <v>2720</v>
      </c>
      <c r="L86" s="2">
        <v>5690</v>
      </c>
      <c r="M86" s="2"/>
      <c r="N86" s="2"/>
      <c r="O86" s="2"/>
      <c r="P86" s="2"/>
      <c r="Q86" s="15">
        <v>1</v>
      </c>
      <c r="R86" s="2" t="s">
        <v>13</v>
      </c>
      <c r="S86" s="2">
        <v>250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8" t="s">
        <v>500</v>
      </c>
      <c r="B87" s="47" t="s">
        <v>507</v>
      </c>
      <c r="C87" s="57">
        <f>(HearingAids[[#This Row],[haMSRP]]*2)+HearingAids[[#This Row],[chargerPrice]]</f>
        <v>4878</v>
      </c>
      <c r="D87" s="39">
        <v>2339</v>
      </c>
      <c r="E87" s="52" t="s">
        <v>538</v>
      </c>
      <c r="F87" s="39">
        <f>HearingAids[[#This Row],[haMSRP]]-((HearingAids[[#This Row],[ListPriceBinural]]-HearingAids[[#This Row],[chargerPrice]])/2)</f>
        <v>689</v>
      </c>
      <c r="G87" s="39">
        <f>HearingAids[[#This Row],[haMSRP]]-HearingAids[[#This Row],[Discount Amount 1]]</f>
        <v>1650</v>
      </c>
      <c r="H87" s="22">
        <v>3500</v>
      </c>
      <c r="I87" s="4" t="s">
        <v>47</v>
      </c>
      <c r="J87" s="2">
        <f>(HearingAids[[#This Row],[haMSRP]]-HearingAids[[#This Row],[Discount Amount 1]])-(HearingAids[[#This Row],[haNetPriceBinural]]-HearingAids[[#This Row],[chargerPrice]])/2</f>
        <v>55</v>
      </c>
      <c r="K87" s="2">
        <f>HearingAids[[#This Row],[HAListPrice]]-HearingAids[[#This Row],[Discount Amount 2]]</f>
        <v>1595</v>
      </c>
      <c r="L87" s="2">
        <v>3390</v>
      </c>
      <c r="M87" s="2"/>
      <c r="N87" s="2"/>
      <c r="O87" s="2"/>
      <c r="P87" s="22"/>
      <c r="Q87" s="23">
        <v>1</v>
      </c>
      <c r="R87" s="22" t="s">
        <v>9</v>
      </c>
      <c r="S87" s="22">
        <v>200</v>
      </c>
      <c r="T87" s="24" t="s">
        <v>26</v>
      </c>
      <c r="U87" s="25">
        <v>0</v>
      </c>
      <c r="V87" s="25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413</v>
      </c>
      <c r="B88" s="37" t="s">
        <v>416</v>
      </c>
      <c r="C88" s="58">
        <f>(HearingAids[[#This Row],[haMSRP]]*2)+HearingAids[[#This Row],[chargerPrice]]</f>
        <v>11888</v>
      </c>
      <c r="D88" s="39">
        <v>5819</v>
      </c>
      <c r="E88" s="52" t="s">
        <v>538</v>
      </c>
      <c r="F88" s="39">
        <f>HearingAids[[#This Row],[haMSRP]]-((HearingAids[[#This Row],[ListPriceBinural]]-HearingAids[[#This Row],[chargerPrice]])/2)</f>
        <v>1019</v>
      </c>
      <c r="G88" s="39">
        <f>HearingAids[[#This Row],[haMSRP]]-HearingAids[[#This Row],[Discount Amount 1]]</f>
        <v>4800</v>
      </c>
      <c r="H88" s="2">
        <v>9850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1580</v>
      </c>
      <c r="K88" s="2">
        <f>HearingAids[[#This Row],[HAListPrice]]-HearingAids[[#This Row],[Discount Amount 2]]</f>
        <v>3220</v>
      </c>
      <c r="L88" s="2">
        <v>6690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414</v>
      </c>
      <c r="B89" s="3" t="s">
        <v>417</v>
      </c>
      <c r="C89" s="60">
        <f>(HearingAids[[#This Row],[haMSRP]]*2)+HearingAids[[#This Row],[chargerPrice]]</f>
        <v>7628</v>
      </c>
      <c r="D89" s="39">
        <v>3689</v>
      </c>
      <c r="E89" s="52" t="s">
        <v>538</v>
      </c>
      <c r="F89" s="39">
        <f>HearingAids[[#This Row],[haMSRP]]-((HearingAids[[#This Row],[ListPriceBinural]]-HearingAids[[#This Row],[chargerPrice]])/2)</f>
        <v>219</v>
      </c>
      <c r="G89" s="39">
        <f>HearingAids[[#This Row],[haMSRP]]-HearingAids[[#This Row],[Discount Amount 1]]</f>
        <v>3470</v>
      </c>
      <c r="H89" s="2">
        <v>7190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1150</v>
      </c>
      <c r="K89" s="2">
        <f>HearingAids[[#This Row],[HAListPrice]]-HearingAids[[#This Row],[Discount Amount 2]]</f>
        <v>2320</v>
      </c>
      <c r="L89" s="2">
        <v>4890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" t="s">
        <v>415</v>
      </c>
      <c r="B90" s="3" t="s">
        <v>418</v>
      </c>
      <c r="C90" s="60">
        <f>(HearingAids[[#This Row],[haMSRP]]*2)+HearingAids[[#This Row],[chargerPrice]]</f>
        <v>9608</v>
      </c>
      <c r="D90" s="39">
        <v>4679</v>
      </c>
      <c r="E90" s="52" t="s">
        <v>538</v>
      </c>
      <c r="F90" s="39">
        <f>HearingAids[[#This Row],[haMSRP]]-((HearingAids[[#This Row],[ListPriceBinural]]-HearingAids[[#This Row],[chargerPrice]])/2)</f>
        <v>479</v>
      </c>
      <c r="G90" s="39">
        <f>HearingAids[[#This Row],[haMSRP]]-HearingAids[[#This Row],[Discount Amount 1]]</f>
        <v>4200</v>
      </c>
      <c r="H90" s="2">
        <v>8650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1480</v>
      </c>
      <c r="K90" s="2">
        <f>HearingAids[[#This Row],[HAListPrice]]-HearingAids[[#This Row],[Discount Amount 2]]</f>
        <v>2720</v>
      </c>
      <c r="L90" s="2">
        <v>5690</v>
      </c>
      <c r="M90" s="2"/>
      <c r="N90" s="2"/>
      <c r="O90" s="2"/>
      <c r="P90" s="2"/>
      <c r="Q90" s="15">
        <v>1</v>
      </c>
      <c r="R90" s="2" t="s">
        <v>13</v>
      </c>
      <c r="S90" s="2">
        <v>250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8" t="s">
        <v>500</v>
      </c>
      <c r="B91" s="47" t="s">
        <v>507</v>
      </c>
      <c r="C91" s="57">
        <f>(HearingAids[[#This Row],[haMSRP]]*2)+HearingAids[[#This Row],[chargerPrice]]</f>
        <v>4878</v>
      </c>
      <c r="D91" s="39">
        <v>2339</v>
      </c>
      <c r="E91" s="52" t="s">
        <v>538</v>
      </c>
      <c r="F91" s="39">
        <f>HearingAids[[#This Row],[haMSRP]]-((HearingAids[[#This Row],[ListPriceBinural]]-HearingAids[[#This Row],[chargerPrice]])/2)</f>
        <v>689</v>
      </c>
      <c r="G91" s="39">
        <f>HearingAids[[#This Row],[haMSRP]]-HearingAids[[#This Row],[Discount Amount 1]]</f>
        <v>1650</v>
      </c>
      <c r="H91" s="22">
        <v>3500</v>
      </c>
      <c r="I91" s="4" t="s">
        <v>48</v>
      </c>
      <c r="J91" s="2">
        <f>(HearingAids[[#This Row],[haMSRP]]-HearingAids[[#This Row],[Discount Amount 1]])-(HearingAids[[#This Row],[haNetPriceBinural]]-HearingAids[[#This Row],[chargerPrice]])/2</f>
        <v>55</v>
      </c>
      <c r="K91" s="2">
        <f>HearingAids[[#This Row],[HAListPrice]]-HearingAids[[#This Row],[Discount Amount 2]]</f>
        <v>1595</v>
      </c>
      <c r="L91" s="2">
        <v>3390</v>
      </c>
      <c r="M91" s="2"/>
      <c r="N91" s="2"/>
      <c r="O91" s="2"/>
      <c r="P91" s="22"/>
      <c r="Q91" s="23">
        <v>1</v>
      </c>
      <c r="R91" s="22" t="s">
        <v>9</v>
      </c>
      <c r="S91" s="22">
        <v>200</v>
      </c>
      <c r="T91" s="24" t="s">
        <v>26</v>
      </c>
      <c r="U91" s="25">
        <v>0</v>
      </c>
      <c r="V91" s="25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413</v>
      </c>
      <c r="B92" s="37" t="s">
        <v>416</v>
      </c>
      <c r="C92" s="58">
        <f>(HearingAids[[#This Row],[haMSRP]]*2)+HearingAids[[#This Row],[chargerPrice]]</f>
        <v>11888</v>
      </c>
      <c r="D92" s="39">
        <v>5819</v>
      </c>
      <c r="E92" s="52" t="s">
        <v>538</v>
      </c>
      <c r="F92" s="39">
        <f>HearingAids[[#This Row],[haMSRP]]-((HearingAids[[#This Row],[ListPriceBinural]]-HearingAids[[#This Row],[chargerPrice]])/2)</f>
        <v>1019</v>
      </c>
      <c r="G92" s="39">
        <f>HearingAids[[#This Row],[haMSRP]]-HearingAids[[#This Row],[Discount Amount 1]]</f>
        <v>4800</v>
      </c>
      <c r="H92" s="2">
        <v>9850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1580</v>
      </c>
      <c r="K92" s="2">
        <f>HearingAids[[#This Row],[HAListPrice]]-HearingAids[[#This Row],[Discount Amount 2]]</f>
        <v>3220</v>
      </c>
      <c r="L92" s="2">
        <v>6690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414</v>
      </c>
      <c r="B93" s="3" t="s">
        <v>417</v>
      </c>
      <c r="C93" s="60">
        <f>(HearingAids[[#This Row],[haMSRP]]*2)+HearingAids[[#This Row],[chargerPrice]]</f>
        <v>7628</v>
      </c>
      <c r="D93" s="39">
        <v>3689</v>
      </c>
      <c r="E93" s="52" t="s">
        <v>538</v>
      </c>
      <c r="F93" s="39">
        <f>HearingAids[[#This Row],[haMSRP]]-((HearingAids[[#This Row],[ListPriceBinural]]-HearingAids[[#This Row],[chargerPrice]])/2)</f>
        <v>219</v>
      </c>
      <c r="G93" s="39">
        <f>HearingAids[[#This Row],[haMSRP]]-HearingAids[[#This Row],[Discount Amount 1]]</f>
        <v>3470</v>
      </c>
      <c r="H93" s="2">
        <v>7190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1150</v>
      </c>
      <c r="K93" s="2">
        <f>HearingAids[[#This Row],[HAListPrice]]-HearingAids[[#This Row],[Discount Amount 2]]</f>
        <v>2320</v>
      </c>
      <c r="L93" s="2">
        <v>4890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" t="s">
        <v>415</v>
      </c>
      <c r="B94" s="3" t="s">
        <v>418</v>
      </c>
      <c r="C94" s="60">
        <f>(HearingAids[[#This Row],[haMSRP]]*2)+HearingAids[[#This Row],[chargerPrice]]</f>
        <v>9608</v>
      </c>
      <c r="D94" s="39">
        <v>4679</v>
      </c>
      <c r="E94" s="52" t="s">
        <v>538</v>
      </c>
      <c r="F94" s="39">
        <f>HearingAids[[#This Row],[haMSRP]]-((HearingAids[[#This Row],[ListPriceBinural]]-HearingAids[[#This Row],[chargerPrice]])/2)</f>
        <v>479</v>
      </c>
      <c r="G94" s="39">
        <f>HearingAids[[#This Row],[haMSRP]]-HearingAids[[#This Row],[Discount Amount 1]]</f>
        <v>4200</v>
      </c>
      <c r="H94" s="2">
        <v>8650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1480</v>
      </c>
      <c r="K94" s="2">
        <f>HearingAids[[#This Row],[HAListPrice]]-HearingAids[[#This Row],[Discount Amount 2]]</f>
        <v>2720</v>
      </c>
      <c r="L94" s="2">
        <v>5690</v>
      </c>
      <c r="M94" s="2"/>
      <c r="N94" s="2"/>
      <c r="O94" s="2"/>
      <c r="P94" s="2"/>
      <c r="Q94" s="15">
        <v>1</v>
      </c>
      <c r="R94" s="2" t="s">
        <v>13</v>
      </c>
      <c r="S94" s="2">
        <v>250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8" t="s">
        <v>500</v>
      </c>
      <c r="B95" s="47" t="s">
        <v>507</v>
      </c>
      <c r="C95" s="57">
        <f>(HearingAids[[#This Row],[haMSRP]]*2)+HearingAids[[#This Row],[chargerPrice]]</f>
        <v>4890</v>
      </c>
      <c r="D95" s="22">
        <v>2345</v>
      </c>
      <c r="E95" s="52" t="s">
        <v>538</v>
      </c>
      <c r="F95" s="39">
        <f>HearingAids[[#This Row],[haMSRP]]-((HearingAids[[#This Row],[ListPriceBinural]]-HearingAids[[#This Row],[chargerPrice]])/2)</f>
        <v>695</v>
      </c>
      <c r="G95" s="39">
        <f>HearingAids[[#This Row],[haMSRP]]-HearingAids[[#This Row],[Discount Amount 1]]</f>
        <v>1650</v>
      </c>
      <c r="H95" s="22">
        <v>3500</v>
      </c>
      <c r="I95" s="4" t="s">
        <v>170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1595</v>
      </c>
      <c r="L95" s="2">
        <v>3390</v>
      </c>
      <c r="M95" s="2"/>
      <c r="N95" s="2"/>
      <c r="O95" s="2"/>
      <c r="P95" s="22"/>
      <c r="Q95" s="15">
        <v>1</v>
      </c>
      <c r="R95" s="2" t="s">
        <v>9</v>
      </c>
      <c r="S95" s="2">
        <v>200</v>
      </c>
      <c r="T95" s="10" t="s">
        <v>26</v>
      </c>
      <c r="U95" s="10">
        <v>0</v>
      </c>
      <c r="V95" s="8" t="s">
        <v>11</v>
      </c>
      <c r="Y95" s="25"/>
      <c r="Z95" s="25"/>
      <c r="AA95" s="25"/>
      <c r="AB95"/>
      <c r="AC95"/>
      <c r="AD95"/>
      <c r="AE95"/>
    </row>
    <row r="96" spans="1:31" ht="12.75" hidden="1">
      <c r="A96" s="3" t="s">
        <v>413</v>
      </c>
      <c r="B96" s="37" t="s">
        <v>416</v>
      </c>
      <c r="C96" s="58">
        <f>(HearingAids[[#This Row],[haMSRP]]*2)+HearingAids[[#This Row],[chargerPrice]]</f>
        <v>11888</v>
      </c>
      <c r="D96" s="39">
        <v>5819</v>
      </c>
      <c r="E96" s="52" t="s">
        <v>538</v>
      </c>
      <c r="F96" s="39">
        <f>HearingAids[[#This Row],[haMSRP]]-((HearingAids[[#This Row],[ListPriceBinural]]-HearingAids[[#This Row],[chargerPrice]])/2)</f>
        <v>1019</v>
      </c>
      <c r="G96" s="39">
        <f>HearingAids[[#This Row],[haMSRP]]-HearingAids[[#This Row],[Discount Amount 1]]</f>
        <v>4800</v>
      </c>
      <c r="H96" s="2">
        <v>9850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1580</v>
      </c>
      <c r="K96" s="2">
        <f>HearingAids[[#This Row],[HAListPrice]]-HearingAids[[#This Row],[Discount Amount 2]]</f>
        <v>3220</v>
      </c>
      <c r="L96" s="2">
        <v>6690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Y96" s="25"/>
      <c r="Z96" s="25"/>
      <c r="AA96" s="25"/>
      <c r="AB96"/>
      <c r="AC96"/>
      <c r="AD96"/>
      <c r="AE96"/>
    </row>
    <row r="97" spans="1:31" ht="12.75" hidden="1">
      <c r="A97" s="3" t="s">
        <v>414</v>
      </c>
      <c r="B97" s="3" t="s">
        <v>417</v>
      </c>
      <c r="C97" s="60">
        <f>(HearingAids[[#This Row],[haMSRP]]*2)+HearingAids[[#This Row],[chargerPrice]]</f>
        <v>7628</v>
      </c>
      <c r="D97" s="39">
        <v>3689</v>
      </c>
      <c r="E97" s="52" t="s">
        <v>538</v>
      </c>
      <c r="F97" s="39">
        <f>HearingAids[[#This Row],[haMSRP]]-((HearingAids[[#This Row],[ListPriceBinural]]-HearingAids[[#This Row],[chargerPrice]])/2)</f>
        <v>219</v>
      </c>
      <c r="G97" s="39">
        <f>HearingAids[[#This Row],[haMSRP]]-HearingAids[[#This Row],[Discount Amount 1]]</f>
        <v>3470</v>
      </c>
      <c r="H97" s="2">
        <v>7190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1150</v>
      </c>
      <c r="K97" s="2">
        <f>HearingAids[[#This Row],[HAListPrice]]-HearingAids[[#This Row],[Discount Amount 2]]</f>
        <v>2320</v>
      </c>
      <c r="L97" s="2">
        <v>4890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 hidden="1">
      <c r="A98" s="3" t="s">
        <v>415</v>
      </c>
      <c r="B98" s="3" t="s">
        <v>418</v>
      </c>
      <c r="C98" s="60">
        <f>(HearingAids[[#This Row],[haMSRP]]*2)+HearingAids[[#This Row],[chargerPrice]]</f>
        <v>9608</v>
      </c>
      <c r="D98" s="39">
        <v>4679</v>
      </c>
      <c r="E98" s="52" t="s">
        <v>538</v>
      </c>
      <c r="F98" s="39">
        <f>HearingAids[[#This Row],[haMSRP]]-((HearingAids[[#This Row],[ListPriceBinural]]-HearingAids[[#This Row],[chargerPrice]])/2)</f>
        <v>479</v>
      </c>
      <c r="G98" s="39">
        <f>HearingAids[[#This Row],[haMSRP]]-HearingAids[[#This Row],[Discount Amount 1]]</f>
        <v>4200</v>
      </c>
      <c r="H98" s="2">
        <v>8650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1480</v>
      </c>
      <c r="K98" s="2">
        <f>HearingAids[[#This Row],[HAListPrice]]-HearingAids[[#This Row],[Discount Amount 2]]</f>
        <v>2720</v>
      </c>
      <c r="L98" s="2">
        <v>5690</v>
      </c>
      <c r="M98" s="2"/>
      <c r="N98" s="2"/>
      <c r="O98" s="2"/>
      <c r="P98" s="2"/>
      <c r="Q98" s="15">
        <v>1</v>
      </c>
      <c r="R98" s="2" t="s">
        <v>13</v>
      </c>
      <c r="S98" s="2">
        <v>250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51</v>
      </c>
      <c r="B99" s="47" t="s">
        <v>520</v>
      </c>
      <c r="C99" s="57">
        <f>(HearingAids[[#This Row],[haMSRP]]*2)+HearingAids[[#This Row],[chargerPrice]]</f>
        <v>11638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894</v>
      </c>
      <c r="G99" s="39">
        <f>HearingAids[[#This Row],[haMSRP]]-HearingAids[[#This Row],[Discount Amount 1]]</f>
        <v>4925</v>
      </c>
      <c r="H99" s="2">
        <v>9850</v>
      </c>
      <c r="I99" s="48" t="s">
        <v>539</v>
      </c>
      <c r="J99" s="2">
        <f>(HearingAids[[#This Row],[haMSRP]]-HearingAids[[#This Row],[Discount Amount 1]])-(HearingAids[[#This Row],[haNetPriceBinural]]-HearingAids[[#This Row],[chargerPrice]])/2</f>
        <v>500</v>
      </c>
      <c r="K99" s="2">
        <f>HearingAids[[#This Row],[HAListPrice]]-HearingAids[[#This Row],[Discount Amount 2]]</f>
        <v>4425</v>
      </c>
      <c r="L99" s="2">
        <v>8850</v>
      </c>
      <c r="M99" s="2"/>
      <c r="N99" s="2"/>
      <c r="O99" s="2"/>
      <c r="P99" s="40"/>
      <c r="Q99" s="15">
        <v>1</v>
      </c>
      <c r="R99" s="2" t="s">
        <v>16</v>
      </c>
      <c r="S99" s="2">
        <v>0</v>
      </c>
      <c r="T99" s="10" t="s">
        <v>10</v>
      </c>
      <c r="U99" s="7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52</v>
      </c>
      <c r="B100" s="47" t="s">
        <v>532</v>
      </c>
      <c r="C100" s="57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894</v>
      </c>
      <c r="G100" s="39">
        <f>HearingAids[[#This Row],[haMSRP]]-HearingAids[[#This Row],[Discount Amount 1]]</f>
        <v>4925</v>
      </c>
      <c r="H100" s="2">
        <v>9850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4425</v>
      </c>
      <c r="L100" s="2">
        <v>8850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53</v>
      </c>
      <c r="B101" s="47" t="s">
        <v>533</v>
      </c>
      <c r="C101" s="57">
        <f>(HearingAids[[#This Row],[haMSRP]]*2)+HearingAids[[#This Row],[chargerPrice]]</f>
        <v>7378</v>
      </c>
      <c r="D101" s="39">
        <v>3689</v>
      </c>
      <c r="E101" s="52" t="s">
        <v>538</v>
      </c>
      <c r="F101" s="39">
        <f>HearingAids[[#This Row],[haMSRP]]-((HearingAids[[#This Row],[ListPriceBinural]]-HearingAids[[#This Row],[chargerPrice]])/2)</f>
        <v>94</v>
      </c>
      <c r="G101" s="39">
        <f>HearingAids[[#This Row],[haMSRP]]-HearingAids[[#This Row],[Discount Amount 1]]</f>
        <v>3595</v>
      </c>
      <c r="H101" s="2">
        <v>7190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3095</v>
      </c>
      <c r="L101" s="2">
        <v>6190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W101" s="7"/>
      <c r="Y101" s="25"/>
      <c r="Z101" s="25"/>
      <c r="AA101" s="25"/>
      <c r="AB101"/>
      <c r="AC101"/>
      <c r="AD101"/>
      <c r="AE101"/>
    </row>
    <row r="102" spans="1:31" ht="12.75" hidden="1">
      <c r="A102" s="3" t="s">
        <v>54</v>
      </c>
      <c r="B102" s="47" t="s">
        <v>534</v>
      </c>
      <c r="C102" s="57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94</v>
      </c>
      <c r="G102" s="39">
        <f>HearingAids[[#This Row],[haMSRP]]-HearingAids[[#This Row],[Discount Amount 1]]</f>
        <v>3595</v>
      </c>
      <c r="H102" s="2">
        <v>7190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3095</v>
      </c>
      <c r="L102" s="2">
        <v>6190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55</v>
      </c>
      <c r="B103" s="47" t="s">
        <v>535</v>
      </c>
      <c r="C103" s="57">
        <f>(HearingAids[[#This Row],[haMSRP]]*2)+HearingAids[[#This Row],[chargerPrice]]</f>
        <v>9358</v>
      </c>
      <c r="D103" s="39">
        <v>4679</v>
      </c>
      <c r="E103" s="52" t="s">
        <v>538</v>
      </c>
      <c r="F103" s="39">
        <f>HearingAids[[#This Row],[haMSRP]]-((HearingAids[[#This Row],[ListPriceBinural]]-HearingAids[[#This Row],[chargerPrice]])/2)</f>
        <v>354</v>
      </c>
      <c r="G103" s="39">
        <f>HearingAids[[#This Row],[haMSRP]]-HearingAids[[#This Row],[Discount Amount 1]]</f>
        <v>4325</v>
      </c>
      <c r="H103" s="2">
        <v>8650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3825</v>
      </c>
      <c r="L103" s="2">
        <v>7650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56</v>
      </c>
      <c r="B104" s="47" t="s">
        <v>536</v>
      </c>
      <c r="C104" s="57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354</v>
      </c>
      <c r="G104" s="39">
        <f>HearingAids[[#This Row],[haMSRP]]-HearingAids[[#This Row],[Discount Amount 1]]</f>
        <v>4325</v>
      </c>
      <c r="H104" s="2">
        <v>8650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3825</v>
      </c>
      <c r="L104" s="2">
        <v>7650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 hidden="1">
      <c r="A105" s="38" t="s">
        <v>496</v>
      </c>
      <c r="B105" s="47" t="s">
        <v>503</v>
      </c>
      <c r="C105" s="57">
        <f>(HearingAids[[#This Row],[haMSRP]]*2)+HearingAids[[#This Row],[chargerPrice]]</f>
        <v>11888</v>
      </c>
      <c r="D105" s="39">
        <v>5819</v>
      </c>
      <c r="E105" s="52" t="s">
        <v>538</v>
      </c>
      <c r="F105" s="39">
        <f>HearingAids[[#This Row],[haMSRP]]-((HearingAids[[#This Row],[ListPriceBinural]]-HearingAids[[#This Row],[chargerPrice]])/2)</f>
        <v>1019</v>
      </c>
      <c r="G105" s="39">
        <f>HearingAids[[#This Row],[haMSRP]]-HearingAids[[#This Row],[Discount Amount 1]]</f>
        <v>4800</v>
      </c>
      <c r="H105" s="2">
        <v>9850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4300</v>
      </c>
      <c r="L105" s="2">
        <v>8850</v>
      </c>
      <c r="M105" s="2"/>
      <c r="N105" s="2"/>
      <c r="O105" s="2"/>
      <c r="P105" s="40"/>
      <c r="Q105" s="41">
        <v>1</v>
      </c>
      <c r="R105" s="40" t="s">
        <v>13</v>
      </c>
      <c r="S105" s="40">
        <v>250</v>
      </c>
      <c r="T105" s="42" t="s">
        <v>14</v>
      </c>
      <c r="U105" s="43">
        <v>0</v>
      </c>
      <c r="V105" s="39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8" t="s">
        <v>498</v>
      </c>
      <c r="B106" s="46" t="s">
        <v>505</v>
      </c>
      <c r="C106" s="59">
        <f>(HearingAids[[#This Row],[haMSRP]]*2)+HearingAids[[#This Row],[chargerPrice]]</f>
        <v>7628</v>
      </c>
      <c r="D106" s="39">
        <v>3689</v>
      </c>
      <c r="E106" s="52" t="s">
        <v>538</v>
      </c>
      <c r="F106" s="39">
        <f>HearingAids[[#This Row],[haMSRP]]-((HearingAids[[#This Row],[ListPriceBinural]]-HearingAids[[#This Row],[chargerPrice]])/2)</f>
        <v>219</v>
      </c>
      <c r="G106" s="39">
        <f>HearingAids[[#This Row],[haMSRP]]-HearingAids[[#This Row],[Discount Amount 1]]</f>
        <v>3470</v>
      </c>
      <c r="H106" s="2">
        <v>7190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2970</v>
      </c>
      <c r="L106" s="2">
        <v>6190</v>
      </c>
      <c r="M106" s="2"/>
      <c r="N106" s="2"/>
      <c r="O106" s="2"/>
      <c r="P106" s="40"/>
      <c r="Q106" s="41">
        <v>1</v>
      </c>
      <c r="R106" s="40" t="s">
        <v>13</v>
      </c>
      <c r="S106" s="40">
        <v>250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8" t="s">
        <v>497</v>
      </c>
      <c r="B107" s="47" t="s">
        <v>504</v>
      </c>
      <c r="C107" s="57">
        <f>(HearingAids[[#This Row],[haMSRP]]*2)+HearingAids[[#This Row],[chargerPrice]]</f>
        <v>9608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479</v>
      </c>
      <c r="G107" s="39">
        <f>HearingAids[[#This Row],[haMSRP]]-HearingAids[[#This Row],[Discount Amount 1]]</f>
        <v>4200</v>
      </c>
      <c r="H107" s="2">
        <v>8650</v>
      </c>
      <c r="I107" s="69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3700</v>
      </c>
      <c r="L107" s="2">
        <v>7650</v>
      </c>
      <c r="M107" s="2"/>
      <c r="N107" s="2"/>
      <c r="O107" s="2"/>
      <c r="P107" s="40"/>
      <c r="Q107" s="41">
        <v>1</v>
      </c>
      <c r="R107" s="40" t="s">
        <v>13</v>
      </c>
      <c r="S107" s="40">
        <v>250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" t="s">
        <v>413</v>
      </c>
      <c r="B108" s="37" t="s">
        <v>416</v>
      </c>
      <c r="C108" s="58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15">
        <v>1</v>
      </c>
      <c r="R108" s="2" t="s">
        <v>13</v>
      </c>
      <c r="S108" s="2">
        <v>250</v>
      </c>
      <c r="T108" s="11" t="s">
        <v>14</v>
      </c>
      <c r="U108" s="2">
        <v>0</v>
      </c>
      <c r="V108" s="12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" t="s">
        <v>414</v>
      </c>
      <c r="B109" s="47" t="s">
        <v>417</v>
      </c>
      <c r="C109" s="57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15">
        <v>1</v>
      </c>
      <c r="R109" s="2" t="s">
        <v>13</v>
      </c>
      <c r="S109" s="2">
        <v>250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" t="s">
        <v>415</v>
      </c>
      <c r="B110" s="37" t="s">
        <v>418</v>
      </c>
      <c r="C110" s="58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15">
        <v>1</v>
      </c>
      <c r="R110" s="2" t="s">
        <v>13</v>
      </c>
      <c r="S110" s="2">
        <v>250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8" t="s">
        <v>500</v>
      </c>
      <c r="B111" s="47" t="s">
        <v>507</v>
      </c>
      <c r="C111" s="57">
        <f>(HearingAids[[#This Row],[haMSRP]]*2)+HearingAids[[#This Row],[chargerPrice]]</f>
        <v>4878</v>
      </c>
      <c r="D111" s="39">
        <v>2339</v>
      </c>
      <c r="E111" s="52" t="s">
        <v>538</v>
      </c>
      <c r="F111" s="39">
        <f>HearingAids[[#This Row],[haMSRP]]-((HearingAids[[#This Row],[ListPriceBinural]]-HearingAids[[#This Row],[chargerPrice]])/2)</f>
        <v>689</v>
      </c>
      <c r="G111" s="39">
        <f>HearingAids[[#This Row],[haMSRP]]-HearingAids[[#This Row],[Discount Amount 1]]</f>
        <v>1650</v>
      </c>
      <c r="H111" s="22">
        <v>3500</v>
      </c>
      <c r="I111" s="4" t="s">
        <v>49</v>
      </c>
      <c r="J111" s="2">
        <f>(HearingAids[[#This Row],[haMSRP]]-HearingAids[[#This Row],[Discount Amount 1]])-(HearingAids[[#This Row],[haNetPriceBinural]]-HearingAids[[#This Row],[chargerPrice]])/2</f>
        <v>55</v>
      </c>
      <c r="K111" s="2">
        <f>HearingAids[[#This Row],[HAListPrice]]-HearingAids[[#This Row],[Discount Amount 2]]</f>
        <v>1595</v>
      </c>
      <c r="L111" s="2">
        <v>3390</v>
      </c>
      <c r="M111" s="2"/>
      <c r="N111" s="2"/>
      <c r="O111" s="2"/>
      <c r="P111" s="22"/>
      <c r="Q111" s="23">
        <v>1</v>
      </c>
      <c r="R111" s="22" t="s">
        <v>9</v>
      </c>
      <c r="S111" s="22">
        <v>200</v>
      </c>
      <c r="T111" s="24" t="s">
        <v>26</v>
      </c>
      <c r="U111" s="25">
        <v>0</v>
      </c>
      <c r="V111" s="25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413</v>
      </c>
      <c r="B112" s="37" t="s">
        <v>416</v>
      </c>
      <c r="C112" s="58">
        <f>(HearingAids[[#This Row],[haMSRP]]*2)+HearingAids[[#This Row],[chargerPrice]]</f>
        <v>11888</v>
      </c>
      <c r="D112" s="39">
        <v>5819</v>
      </c>
      <c r="E112" s="52" t="s">
        <v>538</v>
      </c>
      <c r="F112" s="39">
        <f>HearingAids[[#This Row],[haMSRP]]-((HearingAids[[#This Row],[ListPriceBinural]]-HearingAids[[#This Row],[chargerPrice]])/2)</f>
        <v>1019</v>
      </c>
      <c r="G112" s="39">
        <f>HearingAids[[#This Row],[haMSRP]]-HearingAids[[#This Row],[Discount Amount 1]]</f>
        <v>4800</v>
      </c>
      <c r="H112" s="2">
        <v>9850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1580</v>
      </c>
      <c r="K112" s="2">
        <f>HearingAids[[#This Row],[HAListPrice]]-HearingAids[[#This Row],[Discount Amount 2]]</f>
        <v>3220</v>
      </c>
      <c r="L112" s="2">
        <v>6690</v>
      </c>
      <c r="M112" s="2"/>
      <c r="N112" s="2"/>
      <c r="O112" s="2"/>
      <c r="P112" s="2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414</v>
      </c>
      <c r="B113" s="3" t="s">
        <v>417</v>
      </c>
      <c r="C113" s="60">
        <f>(HearingAids[[#This Row],[haMSRP]]*2)+HearingAids[[#This Row],[chargerPrice]]</f>
        <v>7628</v>
      </c>
      <c r="D113" s="39">
        <v>3689</v>
      </c>
      <c r="E113" s="52" t="s">
        <v>538</v>
      </c>
      <c r="F113" s="39">
        <f>HearingAids[[#This Row],[haMSRP]]-((HearingAids[[#This Row],[ListPriceBinural]]-HearingAids[[#This Row],[chargerPrice]])/2)</f>
        <v>219</v>
      </c>
      <c r="G113" s="39">
        <f>HearingAids[[#This Row],[haMSRP]]-HearingAids[[#This Row],[Discount Amount 1]]</f>
        <v>3470</v>
      </c>
      <c r="H113" s="2">
        <v>7190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1150</v>
      </c>
      <c r="K113" s="2">
        <f>HearingAids[[#This Row],[HAListPrice]]-HearingAids[[#This Row],[Discount Amount 2]]</f>
        <v>2320</v>
      </c>
      <c r="L113" s="2">
        <v>4890</v>
      </c>
      <c r="M113" s="2"/>
      <c r="N113" s="2"/>
      <c r="O113" s="2"/>
      <c r="P113" s="2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" t="s">
        <v>415</v>
      </c>
      <c r="B114" s="3" t="s">
        <v>418</v>
      </c>
      <c r="C114" s="60">
        <f>(HearingAids[[#This Row],[haMSRP]]*2)+HearingAids[[#This Row],[chargerPrice]]</f>
        <v>9608</v>
      </c>
      <c r="D114" s="39">
        <v>4679</v>
      </c>
      <c r="E114" s="52" t="s">
        <v>538</v>
      </c>
      <c r="F114" s="39">
        <f>HearingAids[[#This Row],[haMSRP]]-((HearingAids[[#This Row],[ListPriceBinural]]-HearingAids[[#This Row],[chargerPrice]])/2)</f>
        <v>479</v>
      </c>
      <c r="G114" s="39">
        <f>HearingAids[[#This Row],[haMSRP]]-HearingAids[[#This Row],[Discount Amount 1]]</f>
        <v>4200</v>
      </c>
      <c r="H114" s="2">
        <v>8650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1480</v>
      </c>
      <c r="K114" s="2">
        <f>HearingAids[[#This Row],[HAListPrice]]-HearingAids[[#This Row],[Discount Amount 2]]</f>
        <v>2720</v>
      </c>
      <c r="L114" s="2">
        <v>5690</v>
      </c>
      <c r="M114" s="2"/>
      <c r="N114" s="2"/>
      <c r="O114" s="2"/>
      <c r="P114" s="2"/>
      <c r="Q114" s="15">
        <v>1</v>
      </c>
      <c r="R114" s="2" t="s">
        <v>13</v>
      </c>
      <c r="S114" s="2">
        <v>250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8" t="s">
        <v>500</v>
      </c>
      <c r="B115" s="47" t="s">
        <v>507</v>
      </c>
      <c r="C115" s="57">
        <f>(HearingAids[[#This Row],[haMSRP]]*2)+HearingAids[[#This Row],[chargerPrice]]</f>
        <v>4878</v>
      </c>
      <c r="D115" s="39">
        <v>2339</v>
      </c>
      <c r="E115" s="52" t="s">
        <v>538</v>
      </c>
      <c r="F115" s="39">
        <f>HearingAids[[#This Row],[haMSRP]]-((HearingAids[[#This Row],[ListPriceBinural]]-HearingAids[[#This Row],[chargerPrice]])/2)</f>
        <v>689</v>
      </c>
      <c r="G115" s="39">
        <f>HearingAids[[#This Row],[haMSRP]]-HearingAids[[#This Row],[Discount Amount 1]]</f>
        <v>1650</v>
      </c>
      <c r="H115" s="22">
        <v>3500</v>
      </c>
      <c r="I115" s="4" t="s">
        <v>50</v>
      </c>
      <c r="J115" s="2">
        <f>(HearingAids[[#This Row],[haMSRP]]-HearingAids[[#This Row],[Discount Amount 1]])-(HearingAids[[#This Row],[haNetPriceBinural]]-HearingAids[[#This Row],[chargerPrice]])/2</f>
        <v>55</v>
      </c>
      <c r="K115" s="2">
        <f>HearingAids[[#This Row],[HAListPrice]]-HearingAids[[#This Row],[Discount Amount 2]]</f>
        <v>1595</v>
      </c>
      <c r="L115" s="2">
        <v>3390</v>
      </c>
      <c r="M115" s="2"/>
      <c r="N115" s="2"/>
      <c r="O115" s="2"/>
      <c r="P115" s="22"/>
      <c r="Q115" s="23">
        <v>1</v>
      </c>
      <c r="R115" s="22" t="s">
        <v>9</v>
      </c>
      <c r="S115" s="22">
        <v>200</v>
      </c>
      <c r="T115" s="24" t="s">
        <v>26</v>
      </c>
      <c r="U115" s="25">
        <v>0</v>
      </c>
      <c r="V115" s="25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413</v>
      </c>
      <c r="B116" s="37" t="s">
        <v>416</v>
      </c>
      <c r="C116" s="58">
        <f>(HearingAids[[#This Row],[haMSRP]]*2)+HearingAids[[#This Row],[chargerPrice]]</f>
        <v>11888</v>
      </c>
      <c r="D116" s="39">
        <v>5819</v>
      </c>
      <c r="E116" s="52" t="s">
        <v>538</v>
      </c>
      <c r="F116" s="39">
        <f>HearingAids[[#This Row],[haMSRP]]-((HearingAids[[#This Row],[ListPriceBinural]]-HearingAids[[#This Row],[chargerPrice]])/2)</f>
        <v>1019</v>
      </c>
      <c r="G116" s="39">
        <f>HearingAids[[#This Row],[haMSRP]]-HearingAids[[#This Row],[Discount Amount 1]]</f>
        <v>4800</v>
      </c>
      <c r="H116" s="2">
        <v>9850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1580</v>
      </c>
      <c r="K116" s="2">
        <f>HearingAids[[#This Row],[HAListPrice]]-HearingAids[[#This Row],[Discount Amount 2]]</f>
        <v>3220</v>
      </c>
      <c r="L116" s="2">
        <v>6690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414</v>
      </c>
      <c r="B117" s="3" t="s">
        <v>417</v>
      </c>
      <c r="C117" s="60">
        <f>(HearingAids[[#This Row],[haMSRP]]*2)+HearingAids[[#This Row],[chargerPrice]]</f>
        <v>7628</v>
      </c>
      <c r="D117" s="39">
        <v>3689</v>
      </c>
      <c r="E117" s="52" t="s">
        <v>538</v>
      </c>
      <c r="F117" s="39">
        <f>HearingAids[[#This Row],[haMSRP]]-((HearingAids[[#This Row],[ListPriceBinural]]-HearingAids[[#This Row],[chargerPrice]])/2)</f>
        <v>219</v>
      </c>
      <c r="G117" s="39">
        <f>HearingAids[[#This Row],[haMSRP]]-HearingAids[[#This Row],[Discount Amount 1]]</f>
        <v>3470</v>
      </c>
      <c r="H117" s="2">
        <v>7190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1150</v>
      </c>
      <c r="K117" s="2">
        <f>HearingAids[[#This Row],[HAListPrice]]-HearingAids[[#This Row],[Discount Amount 2]]</f>
        <v>2320</v>
      </c>
      <c r="L117" s="2">
        <v>4890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" t="s">
        <v>415</v>
      </c>
      <c r="B118" s="3" t="s">
        <v>418</v>
      </c>
      <c r="C118" s="60">
        <f>(HearingAids[[#This Row],[haMSRP]]*2)+HearingAids[[#This Row],[chargerPrice]]</f>
        <v>9608</v>
      </c>
      <c r="D118" s="39">
        <v>4679</v>
      </c>
      <c r="E118" s="52" t="s">
        <v>538</v>
      </c>
      <c r="F118" s="39">
        <f>HearingAids[[#This Row],[haMSRP]]-((HearingAids[[#This Row],[ListPriceBinural]]-HearingAids[[#This Row],[chargerPrice]])/2)</f>
        <v>479</v>
      </c>
      <c r="G118" s="39">
        <f>HearingAids[[#This Row],[haMSRP]]-HearingAids[[#This Row],[Discount Amount 1]]</f>
        <v>4200</v>
      </c>
      <c r="H118" s="2">
        <v>8650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1480</v>
      </c>
      <c r="K118" s="2">
        <f>HearingAids[[#This Row],[HAListPrice]]-HearingAids[[#This Row],[Discount Amount 2]]</f>
        <v>2720</v>
      </c>
      <c r="L118" s="2">
        <v>5690</v>
      </c>
      <c r="M118" s="2"/>
      <c r="N118" s="2"/>
      <c r="O118" s="2"/>
      <c r="P118" s="2"/>
      <c r="Q118" s="15">
        <v>1</v>
      </c>
      <c r="R118" s="2" t="s">
        <v>13</v>
      </c>
      <c r="S118" s="2">
        <v>250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8" t="s">
        <v>496</v>
      </c>
      <c r="B119" s="46" t="s">
        <v>503</v>
      </c>
      <c r="C119" s="59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421</v>
      </c>
      <c r="J119" s="2">
        <f>((HearingAids[[#This Row],[haMSRP]]-HearingAids[[#This Row],[Discount Amount 1]])-(HearingAids[[#This Row],[haNetPriceBinural]]-HearingAids[[#This Row],[chargerPrice]])/2)+500</f>
        <v>1125</v>
      </c>
      <c r="K119" s="2">
        <f>HearingAids[[#This Row],[HAListPrice]]-HearingAids[[#This Row],[Discount Amount 2]]</f>
        <v>3675</v>
      </c>
      <c r="L119" s="2">
        <v>8600</v>
      </c>
      <c r="M119" s="48"/>
      <c r="N119" s="2"/>
      <c r="O119" s="61">
        <f>HearingAids[[#This Row],[haNetPrice]]-HearingAids[[#This Row],[Discount Amount 3]]</f>
        <v>3675</v>
      </c>
      <c r="P119" s="8">
        <v>7600</v>
      </c>
      <c r="Q119" s="28">
        <v>1</v>
      </c>
      <c r="R119" s="8" t="s">
        <v>13</v>
      </c>
      <c r="S119" s="8">
        <v>250</v>
      </c>
      <c r="T119" s="24" t="s">
        <v>14</v>
      </c>
      <c r="U119" s="25">
        <v>0</v>
      </c>
      <c r="V119" s="25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498</v>
      </c>
      <c r="B120" s="46" t="s">
        <v>505</v>
      </c>
      <c r="C120" s="59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695</v>
      </c>
      <c r="K120" s="2">
        <f>HearingAids[[#This Row],[HAListPrice]]-HearingAids[[#This Row],[Discount Amount 2]]</f>
        <v>2775</v>
      </c>
      <c r="L120" s="2">
        <v>6800</v>
      </c>
      <c r="M120" s="48"/>
      <c r="N120" s="2"/>
      <c r="O120" s="61">
        <f>HearingAids[[#This Row],[haNetPrice]]-HearingAids[[#This Row],[Discount Amount 3]]</f>
        <v>2775</v>
      </c>
      <c r="P120" s="8">
        <v>5800</v>
      </c>
      <c r="Q120" s="28">
        <v>1</v>
      </c>
      <c r="R120" s="8" t="s">
        <v>13</v>
      </c>
      <c r="S120" s="8">
        <v>250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497</v>
      </c>
      <c r="B121" s="46" t="s">
        <v>504</v>
      </c>
      <c r="C121" s="59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1025</v>
      </c>
      <c r="K121" s="2">
        <f>HearingAids[[#This Row],[HAListPrice]]-HearingAids[[#This Row],[Discount Amount 2]]</f>
        <v>3175</v>
      </c>
      <c r="L121" s="2">
        <v>7600</v>
      </c>
      <c r="M121" s="48"/>
      <c r="N121" s="2"/>
      <c r="O121" s="61">
        <f>HearingAids[[#This Row],[haNetPrice]]-HearingAids[[#This Row],[Discount Amount 3]]</f>
        <v>3175</v>
      </c>
      <c r="P121" s="8">
        <v>6600</v>
      </c>
      <c r="Q121" s="28">
        <v>1</v>
      </c>
      <c r="R121" s="8" t="s">
        <v>13</v>
      </c>
      <c r="S121" s="8">
        <v>250</v>
      </c>
      <c r="T121" s="24" t="s">
        <v>14</v>
      </c>
      <c r="U121" s="25">
        <v>0</v>
      </c>
      <c r="V121" s="25" t="s">
        <v>11</v>
      </c>
      <c r="W121" s="2"/>
      <c r="Y121" s="25"/>
      <c r="Z121" s="25"/>
      <c r="AA121" s="25"/>
      <c r="AB121"/>
      <c r="AC121"/>
      <c r="AD121"/>
      <c r="AE121"/>
    </row>
    <row r="122" spans="1:31" ht="12.75" hidden="1">
      <c r="A122" s="38" t="s">
        <v>500</v>
      </c>
      <c r="B122" s="47" t="s">
        <v>507</v>
      </c>
      <c r="C122" s="57">
        <f>(HearingAids[[#This Row],[haMSRP]]*2)+HearingAids[[#This Row],[chargerPrice]]</f>
        <v>4878</v>
      </c>
      <c r="D122" s="39">
        <v>2339</v>
      </c>
      <c r="E122" s="52" t="s">
        <v>538</v>
      </c>
      <c r="F122" s="39">
        <f>HearingAids[[#This Row],[haMSRP]]-((HearingAids[[#This Row],[ListPriceBinural]]-HearingAids[[#This Row],[chargerPrice]])/2)</f>
        <v>689</v>
      </c>
      <c r="G122" s="39">
        <f>HearingAids[[#This Row],[haMSRP]]-HearingAids[[#This Row],[Discount Amount 1]]</f>
        <v>1650</v>
      </c>
      <c r="H122" s="22">
        <v>3500</v>
      </c>
      <c r="I122" s="29" t="s">
        <v>432</v>
      </c>
      <c r="J122" s="2">
        <f>(HearingAids[[#This Row],[haMSRP]]-HearingAids[[#This Row],[Discount Amount 1]])-(HearingAids[[#This Row],[haNetPriceBinural]]-HearingAids[[#This Row],[chargerPrice]])/2</f>
        <v>55</v>
      </c>
      <c r="K122" s="2">
        <f>HearingAids[[#This Row],[HAListPrice]]-HearingAids[[#This Row],[Discount Amount 2]]</f>
        <v>1595</v>
      </c>
      <c r="L122" s="2">
        <v>3390</v>
      </c>
      <c r="M122" s="2"/>
      <c r="N122" s="2"/>
      <c r="O122" s="2"/>
      <c r="P122" s="22"/>
      <c r="Q122" s="15">
        <v>1</v>
      </c>
      <c r="R122" s="2" t="s">
        <v>9</v>
      </c>
      <c r="S122" s="2">
        <v>200</v>
      </c>
      <c r="T122" s="10" t="s">
        <v>26</v>
      </c>
      <c r="U122" s="7">
        <v>0</v>
      </c>
      <c r="V122" s="12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 hidden="1">
      <c r="A123" s="3" t="s">
        <v>413</v>
      </c>
      <c r="B123" s="37" t="s">
        <v>416</v>
      </c>
      <c r="C123" s="58">
        <f>(HearingAids[[#This Row],[haMSRP]]*2)+HearingAids[[#This Row],[chargerPrice]]</f>
        <v>11888</v>
      </c>
      <c r="D123" s="39">
        <v>5819</v>
      </c>
      <c r="E123" s="52" t="s">
        <v>538</v>
      </c>
      <c r="F123" s="39">
        <f>HearingAids[[#This Row],[haMSRP]]-((HearingAids[[#This Row],[ListPriceBinural]]-HearingAids[[#This Row],[chargerPrice]])/2)</f>
        <v>1019</v>
      </c>
      <c r="G123" s="39">
        <f>HearingAids[[#This Row],[haMSRP]]-HearingAids[[#This Row],[Discount Amount 1]]</f>
        <v>4800</v>
      </c>
      <c r="H123" s="2">
        <v>9850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1580</v>
      </c>
      <c r="K123" s="2">
        <f>HearingAids[[#This Row],[HAListPrice]]-HearingAids[[#This Row],[Discount Amount 2]]</f>
        <v>3220</v>
      </c>
      <c r="L123" s="2">
        <v>6690</v>
      </c>
      <c r="M123" s="2"/>
      <c r="N123" s="2"/>
      <c r="O123" s="2"/>
      <c r="P123" s="2"/>
      <c r="Q123" s="15">
        <v>1</v>
      </c>
      <c r="R123" s="2" t="s">
        <v>13</v>
      </c>
      <c r="S123" s="2">
        <v>250</v>
      </c>
      <c r="T123" s="11" t="s">
        <v>14</v>
      </c>
      <c r="U123" s="2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 hidden="1">
      <c r="A124" s="3" t="s">
        <v>414</v>
      </c>
      <c r="B124" s="3" t="s">
        <v>417</v>
      </c>
      <c r="C124" s="60">
        <f>(HearingAids[[#This Row],[haMSRP]]*2)+HearingAids[[#This Row],[chargerPrice]]</f>
        <v>7628</v>
      </c>
      <c r="D124" s="39">
        <v>3689</v>
      </c>
      <c r="E124" s="52" t="s">
        <v>538</v>
      </c>
      <c r="F124" s="39">
        <f>HearingAids[[#This Row],[haMSRP]]-((HearingAids[[#This Row],[ListPriceBinural]]-HearingAids[[#This Row],[chargerPrice]])/2)</f>
        <v>219</v>
      </c>
      <c r="G124" s="39">
        <f>HearingAids[[#This Row],[haMSRP]]-HearingAids[[#This Row],[Discount Amount 1]]</f>
        <v>3470</v>
      </c>
      <c r="H124" s="2">
        <v>7190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1150</v>
      </c>
      <c r="K124" s="2">
        <f>HearingAids[[#This Row],[HAListPrice]]-HearingAids[[#This Row],[Discount Amount 2]]</f>
        <v>2320</v>
      </c>
      <c r="L124" s="2">
        <v>4890</v>
      </c>
      <c r="M124" s="2"/>
      <c r="N124" s="2"/>
      <c r="O124" s="2"/>
      <c r="P124" s="2"/>
      <c r="Q124" s="15">
        <v>1</v>
      </c>
      <c r="R124" s="2" t="s">
        <v>13</v>
      </c>
      <c r="S124" s="2">
        <v>250</v>
      </c>
      <c r="T124" s="11" t="s">
        <v>14</v>
      </c>
      <c r="U124" s="2">
        <v>0</v>
      </c>
      <c r="V124" s="12" t="s">
        <v>11</v>
      </c>
      <c r="W124" s="7"/>
      <c r="Y124" s="25"/>
      <c r="Z124" s="25"/>
      <c r="AA124" s="25"/>
      <c r="AB124"/>
      <c r="AC124"/>
      <c r="AD124"/>
      <c r="AE124"/>
    </row>
    <row r="125" spans="1:31" ht="12.75" hidden="1">
      <c r="A125" s="3" t="s">
        <v>415</v>
      </c>
      <c r="B125" s="3" t="s">
        <v>418</v>
      </c>
      <c r="C125" s="60">
        <f>(HearingAids[[#This Row],[haMSRP]]*2)+HearingAids[[#This Row],[chargerPrice]]</f>
        <v>9608</v>
      </c>
      <c r="D125" s="39">
        <v>4679</v>
      </c>
      <c r="E125" s="52" t="s">
        <v>538</v>
      </c>
      <c r="F125" s="39">
        <f>HearingAids[[#This Row],[haMSRP]]-((HearingAids[[#This Row],[ListPriceBinural]]-HearingAids[[#This Row],[chargerPrice]])/2)</f>
        <v>479</v>
      </c>
      <c r="G125" s="39">
        <f>HearingAids[[#This Row],[haMSRP]]-HearingAids[[#This Row],[Discount Amount 1]]</f>
        <v>4200</v>
      </c>
      <c r="H125" s="2">
        <v>8650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1480</v>
      </c>
      <c r="K125" s="2">
        <f>HearingAids[[#This Row],[HAListPrice]]-HearingAids[[#This Row],[Discount Amount 2]]</f>
        <v>2720</v>
      </c>
      <c r="L125" s="2">
        <v>5690</v>
      </c>
      <c r="M125" s="2"/>
      <c r="N125" s="2"/>
      <c r="O125" s="2"/>
      <c r="P125" s="2"/>
      <c r="Q125" s="15">
        <v>1</v>
      </c>
      <c r="R125" s="2" t="s">
        <v>13</v>
      </c>
      <c r="S125" s="2">
        <v>250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 hidden="1">
      <c r="A126" s="38" t="s">
        <v>500</v>
      </c>
      <c r="B126" s="47" t="s">
        <v>507</v>
      </c>
      <c r="C126" s="57">
        <f>(HearingAids[[#This Row],[haMSRP]]*2)+HearingAids[[#This Row],[chargerPrice]]</f>
        <v>4878</v>
      </c>
      <c r="D126" s="39">
        <v>2339</v>
      </c>
      <c r="E126" s="52" t="s">
        <v>538</v>
      </c>
      <c r="F126" s="39">
        <f>HearingAids[[#This Row],[haMSRP]]-((HearingAids[[#This Row],[ListPriceBinural]]-HearingAids[[#This Row],[chargerPrice]])/2)</f>
        <v>689</v>
      </c>
      <c r="G126" s="39">
        <f>HearingAids[[#This Row],[haMSRP]]-HearingAids[[#This Row],[Discount Amount 1]]</f>
        <v>1650</v>
      </c>
      <c r="H126" s="22">
        <v>3500</v>
      </c>
      <c r="I126" s="4" t="s">
        <v>57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1595</v>
      </c>
      <c r="L126" s="2">
        <v>3390</v>
      </c>
      <c r="M126" s="2"/>
      <c r="N126" s="2"/>
      <c r="O126" s="2"/>
      <c r="P126" s="22"/>
      <c r="Q126" s="23">
        <v>1</v>
      </c>
      <c r="R126" s="22" t="s">
        <v>9</v>
      </c>
      <c r="S126" s="22">
        <v>200</v>
      </c>
      <c r="T126" s="24" t="s">
        <v>26</v>
      </c>
      <c r="U126" s="25">
        <v>0</v>
      </c>
      <c r="V126" s="25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 hidden="1">
      <c r="A127" s="3" t="s">
        <v>413</v>
      </c>
      <c r="B127" s="37" t="s">
        <v>416</v>
      </c>
      <c r="C127" s="58">
        <f>(HearingAids[[#This Row],[haMSRP]]*2)+HearingAids[[#This Row],[chargerPrice]]</f>
        <v>11888</v>
      </c>
      <c r="D127" s="39">
        <v>5819</v>
      </c>
      <c r="E127" s="52" t="s">
        <v>538</v>
      </c>
      <c r="F127" s="39">
        <f>HearingAids[[#This Row],[haMSRP]]-((HearingAids[[#This Row],[ListPriceBinural]]-HearingAids[[#This Row],[chargerPrice]])/2)</f>
        <v>1019</v>
      </c>
      <c r="G127" s="39">
        <f>HearingAids[[#This Row],[haMSRP]]-HearingAids[[#This Row],[Discount Amount 1]]</f>
        <v>4800</v>
      </c>
      <c r="H127" s="2">
        <v>9850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1580</v>
      </c>
      <c r="K127" s="2">
        <f>HearingAids[[#This Row],[HAListPrice]]-HearingAids[[#This Row],[Discount Amount 2]]</f>
        <v>3220</v>
      </c>
      <c r="L127" s="2">
        <v>6690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414</v>
      </c>
      <c r="B128" s="3" t="s">
        <v>417</v>
      </c>
      <c r="C128" s="60">
        <f>(HearingAids[[#This Row],[haMSRP]]*2)+HearingAids[[#This Row],[chargerPrice]]</f>
        <v>7628</v>
      </c>
      <c r="D128" s="39">
        <v>3689</v>
      </c>
      <c r="E128" s="52" t="s">
        <v>538</v>
      </c>
      <c r="F128" s="39">
        <f>HearingAids[[#This Row],[haMSRP]]-((HearingAids[[#This Row],[ListPriceBinural]]-HearingAids[[#This Row],[chargerPrice]])/2)</f>
        <v>219</v>
      </c>
      <c r="G128" s="39">
        <f>HearingAids[[#This Row],[haMSRP]]-HearingAids[[#This Row],[Discount Amount 1]]</f>
        <v>3470</v>
      </c>
      <c r="H128" s="2">
        <v>7190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1150</v>
      </c>
      <c r="K128" s="2">
        <f>HearingAids[[#This Row],[HAListPrice]]-HearingAids[[#This Row],[Discount Amount 2]]</f>
        <v>2320</v>
      </c>
      <c r="L128" s="2">
        <v>4890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" t="s">
        <v>415</v>
      </c>
      <c r="B129" s="3" t="s">
        <v>418</v>
      </c>
      <c r="C129" s="60">
        <f>(HearingAids[[#This Row],[haMSRP]]*2)+HearingAids[[#This Row],[chargerPrice]]</f>
        <v>9608</v>
      </c>
      <c r="D129" s="39">
        <v>4679</v>
      </c>
      <c r="E129" s="52" t="s">
        <v>538</v>
      </c>
      <c r="F129" s="39">
        <f>HearingAids[[#This Row],[haMSRP]]-((HearingAids[[#This Row],[ListPriceBinural]]-HearingAids[[#This Row],[chargerPrice]])/2)</f>
        <v>479</v>
      </c>
      <c r="G129" s="39">
        <f>HearingAids[[#This Row],[haMSRP]]-HearingAids[[#This Row],[Discount Amount 1]]</f>
        <v>4200</v>
      </c>
      <c r="H129" s="2">
        <v>8650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1480</v>
      </c>
      <c r="K129" s="2">
        <f>HearingAids[[#This Row],[HAListPrice]]-HearingAids[[#This Row],[Discount Amount 2]]</f>
        <v>2720</v>
      </c>
      <c r="L129" s="2">
        <v>5690</v>
      </c>
      <c r="M129" s="2"/>
      <c r="N129" s="2"/>
      <c r="O129" s="2"/>
      <c r="P129" s="2"/>
      <c r="Q129" s="15">
        <v>1</v>
      </c>
      <c r="R129" s="2" t="s">
        <v>13</v>
      </c>
      <c r="S129" s="2">
        <v>250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8" t="s">
        <v>500</v>
      </c>
      <c r="B130" s="47" t="s">
        <v>507</v>
      </c>
      <c r="C130" s="57">
        <f>(HearingAids[[#This Row],[haMSRP]]*2)+HearingAids[[#This Row],[chargerPrice]]</f>
        <v>4878</v>
      </c>
      <c r="D130" s="39">
        <v>2339</v>
      </c>
      <c r="E130" s="52" t="s">
        <v>538</v>
      </c>
      <c r="F130" s="39">
        <f>HearingAids[[#This Row],[haMSRP]]-((HearingAids[[#This Row],[ListPriceBinural]]-HearingAids[[#This Row],[chargerPrice]])/2)</f>
        <v>689</v>
      </c>
      <c r="G130" s="39">
        <f>HearingAids[[#This Row],[haMSRP]]-HearingAids[[#This Row],[Discount Amount 1]]</f>
        <v>1650</v>
      </c>
      <c r="H130" s="22">
        <v>3500</v>
      </c>
      <c r="I130" s="4" t="s">
        <v>58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1595</v>
      </c>
      <c r="L130" s="2">
        <v>3390</v>
      </c>
      <c r="M130" s="2"/>
      <c r="N130" s="2"/>
      <c r="O130" s="2"/>
      <c r="P130" s="22"/>
      <c r="Q130" s="15">
        <v>1</v>
      </c>
      <c r="R130" s="2" t="s">
        <v>9</v>
      </c>
      <c r="S130" s="2">
        <v>200</v>
      </c>
      <c r="T130" s="10" t="s">
        <v>26</v>
      </c>
      <c r="U130" s="7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413</v>
      </c>
      <c r="B131" s="37" t="s">
        <v>416</v>
      </c>
      <c r="C131" s="58">
        <f>(HearingAids[[#This Row],[haMSRP]]*2)+HearingAids[[#This Row],[chargerPrice]]</f>
        <v>11888</v>
      </c>
      <c r="D131" s="39">
        <v>5819</v>
      </c>
      <c r="E131" s="52" t="s">
        <v>538</v>
      </c>
      <c r="F131" s="39">
        <f>HearingAids[[#This Row],[haMSRP]]-((HearingAids[[#This Row],[ListPriceBinural]]-HearingAids[[#This Row],[chargerPrice]])/2)</f>
        <v>1019</v>
      </c>
      <c r="G131" s="39">
        <f>HearingAids[[#This Row],[haMSRP]]-HearingAids[[#This Row],[Discount Amount 1]]</f>
        <v>4800</v>
      </c>
      <c r="H131" s="2">
        <v>9850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1580</v>
      </c>
      <c r="K131" s="2">
        <f>HearingAids[[#This Row],[HAListPrice]]-HearingAids[[#This Row],[Discount Amount 2]]</f>
        <v>3220</v>
      </c>
      <c r="L131" s="2">
        <v>6690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414</v>
      </c>
      <c r="B132" s="3" t="s">
        <v>417</v>
      </c>
      <c r="C132" s="60">
        <f>(HearingAids[[#This Row],[haMSRP]]*2)+HearingAids[[#This Row],[chargerPrice]]</f>
        <v>7628</v>
      </c>
      <c r="D132" s="39">
        <v>3689</v>
      </c>
      <c r="E132" s="52" t="s">
        <v>538</v>
      </c>
      <c r="F132" s="39">
        <f>HearingAids[[#This Row],[haMSRP]]-((HearingAids[[#This Row],[ListPriceBinural]]-HearingAids[[#This Row],[chargerPrice]])/2)</f>
        <v>219</v>
      </c>
      <c r="G132" s="39">
        <f>HearingAids[[#This Row],[haMSRP]]-HearingAids[[#This Row],[Discount Amount 1]]</f>
        <v>3470</v>
      </c>
      <c r="H132" s="2">
        <v>7190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1150</v>
      </c>
      <c r="K132" s="2">
        <f>HearingAids[[#This Row],[HAListPrice]]-HearingAids[[#This Row],[Discount Amount 2]]</f>
        <v>2320</v>
      </c>
      <c r="L132" s="2">
        <v>4890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" t="s">
        <v>415</v>
      </c>
      <c r="B133" s="3" t="s">
        <v>418</v>
      </c>
      <c r="C133" s="60">
        <f>(HearingAids[[#This Row],[haMSRP]]*2)+HearingAids[[#This Row],[chargerPrice]]</f>
        <v>9608</v>
      </c>
      <c r="D133" s="39">
        <v>4679</v>
      </c>
      <c r="E133" s="52" t="s">
        <v>538</v>
      </c>
      <c r="F133" s="39">
        <f>HearingAids[[#This Row],[haMSRP]]-((HearingAids[[#This Row],[ListPriceBinural]]-HearingAids[[#This Row],[chargerPrice]])/2)</f>
        <v>479</v>
      </c>
      <c r="G133" s="39">
        <f>HearingAids[[#This Row],[haMSRP]]-HearingAids[[#This Row],[Discount Amount 1]]</f>
        <v>4200</v>
      </c>
      <c r="H133" s="2">
        <v>8650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1480</v>
      </c>
      <c r="K133" s="2">
        <f>HearingAids[[#This Row],[HAListPrice]]-HearingAids[[#This Row],[Discount Amount 2]]</f>
        <v>2720</v>
      </c>
      <c r="L133" s="2">
        <v>5690</v>
      </c>
      <c r="M133" s="2"/>
      <c r="N133" s="2"/>
      <c r="O133" s="2"/>
      <c r="P133" s="2"/>
      <c r="Q133" s="15">
        <v>1</v>
      </c>
      <c r="R133" s="2" t="s">
        <v>13</v>
      </c>
      <c r="S133" s="2">
        <v>250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8" t="s">
        <v>500</v>
      </c>
      <c r="B134" s="47" t="s">
        <v>507</v>
      </c>
      <c r="C134" s="57">
        <f>(HearingAids[[#This Row],[haMSRP]]*2)+HearingAids[[#This Row],[chargerPrice]]</f>
        <v>4878</v>
      </c>
      <c r="D134" s="39">
        <v>2339</v>
      </c>
      <c r="E134" s="52" t="s">
        <v>538</v>
      </c>
      <c r="F134" s="39">
        <f>HearingAids[[#This Row],[haMSRP]]-((HearingAids[[#This Row],[ListPriceBinural]]-HearingAids[[#This Row],[chargerPrice]])/2)</f>
        <v>689</v>
      </c>
      <c r="G134" s="39">
        <f>HearingAids[[#This Row],[haMSRP]]-HearingAids[[#This Row],[Discount Amount 1]]</f>
        <v>1650</v>
      </c>
      <c r="H134" s="22">
        <v>3500</v>
      </c>
      <c r="I134" s="4" t="s">
        <v>59</v>
      </c>
      <c r="J134" s="2">
        <f>(HearingAids[[#This Row],[haMSRP]]-HearingAids[[#This Row],[Discount Amount 1]])-(HearingAids[[#This Row],[haNetPriceBinural]]-HearingAids[[#This Row],[chargerPrice]])/2</f>
        <v>55</v>
      </c>
      <c r="K134" s="2">
        <f>HearingAids[[#This Row],[HAListPrice]]-HearingAids[[#This Row],[Discount Amount 2]]</f>
        <v>1595</v>
      </c>
      <c r="L134" s="2">
        <v>3390</v>
      </c>
      <c r="M134" s="2"/>
      <c r="N134" s="2"/>
      <c r="O134" s="2"/>
      <c r="P134" s="22"/>
      <c r="Q134" s="23">
        <v>1</v>
      </c>
      <c r="R134" s="22" t="s">
        <v>9</v>
      </c>
      <c r="S134" s="22">
        <v>200</v>
      </c>
      <c r="T134" s="24" t="s">
        <v>26</v>
      </c>
      <c r="U134" s="25">
        <v>0</v>
      </c>
      <c r="V134" s="25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413</v>
      </c>
      <c r="B135" s="37" t="s">
        <v>416</v>
      </c>
      <c r="C135" s="58">
        <f>(HearingAids[[#This Row],[haMSRP]]*2)+HearingAids[[#This Row],[chargerPrice]]</f>
        <v>11888</v>
      </c>
      <c r="D135" s="39">
        <v>5819</v>
      </c>
      <c r="E135" s="52" t="s">
        <v>538</v>
      </c>
      <c r="F135" s="39">
        <f>HearingAids[[#This Row],[haMSRP]]-((HearingAids[[#This Row],[ListPriceBinural]]-HearingAids[[#This Row],[chargerPrice]])/2)</f>
        <v>1019</v>
      </c>
      <c r="G135" s="39">
        <f>HearingAids[[#This Row],[haMSRP]]-HearingAids[[#This Row],[Discount Amount 1]]</f>
        <v>4800</v>
      </c>
      <c r="H135" s="2">
        <v>9850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1580</v>
      </c>
      <c r="K135" s="2">
        <f>HearingAids[[#This Row],[HAListPrice]]-HearingAids[[#This Row],[Discount Amount 2]]</f>
        <v>3220</v>
      </c>
      <c r="L135" s="2">
        <v>6690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414</v>
      </c>
      <c r="B136" s="3" t="s">
        <v>417</v>
      </c>
      <c r="C136" s="60">
        <f>(HearingAids[[#This Row],[haMSRP]]*2)+HearingAids[[#This Row],[chargerPrice]]</f>
        <v>7628</v>
      </c>
      <c r="D136" s="39">
        <v>3689</v>
      </c>
      <c r="E136" s="52" t="s">
        <v>538</v>
      </c>
      <c r="F136" s="39">
        <f>HearingAids[[#This Row],[haMSRP]]-((HearingAids[[#This Row],[ListPriceBinural]]-HearingAids[[#This Row],[chargerPrice]])/2)</f>
        <v>219</v>
      </c>
      <c r="G136" s="39">
        <f>HearingAids[[#This Row],[haMSRP]]-HearingAids[[#This Row],[Discount Amount 1]]</f>
        <v>3470</v>
      </c>
      <c r="H136" s="2">
        <v>7190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1150</v>
      </c>
      <c r="K136" s="2">
        <f>HearingAids[[#This Row],[HAListPrice]]-HearingAids[[#This Row],[Discount Amount 2]]</f>
        <v>2320</v>
      </c>
      <c r="L136" s="2">
        <v>4890</v>
      </c>
      <c r="M136" s="71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" t="s">
        <v>415</v>
      </c>
      <c r="B137" s="3" t="s">
        <v>418</v>
      </c>
      <c r="C137" s="60">
        <f>(HearingAids[[#This Row],[haMSRP]]*2)+HearingAids[[#This Row],[chargerPrice]]</f>
        <v>9608</v>
      </c>
      <c r="D137" s="39">
        <v>4679</v>
      </c>
      <c r="E137" s="52" t="s">
        <v>538</v>
      </c>
      <c r="F137" s="39">
        <f>HearingAids[[#This Row],[haMSRP]]-((HearingAids[[#This Row],[ListPriceBinural]]-HearingAids[[#This Row],[chargerPrice]])/2)</f>
        <v>479</v>
      </c>
      <c r="G137" s="39">
        <f>HearingAids[[#This Row],[haMSRP]]-HearingAids[[#This Row],[Discount Amount 1]]</f>
        <v>4200</v>
      </c>
      <c r="H137" s="2">
        <v>8650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1480</v>
      </c>
      <c r="K137" s="2">
        <f>HearingAids[[#This Row],[HAListPrice]]-HearingAids[[#This Row],[Discount Amount 2]]</f>
        <v>2720</v>
      </c>
      <c r="L137" s="2">
        <v>5690</v>
      </c>
      <c r="M137" s="71"/>
      <c r="N137" s="2"/>
      <c r="O137" s="2"/>
      <c r="P137" s="2"/>
      <c r="Q137" s="15">
        <v>1</v>
      </c>
      <c r="R137" s="2" t="s">
        <v>13</v>
      </c>
      <c r="S137" s="2">
        <v>250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99" t="s">
        <v>617</v>
      </c>
      <c r="B138" s="100" t="s">
        <v>618</v>
      </c>
      <c r="C138" s="60">
        <f>(HearingAids[[#This Row],[haMSRP]]*2)+HearingAids[[#This Row],[chargerPrice]]</f>
        <v>6258</v>
      </c>
      <c r="D138" s="102">
        <v>3029</v>
      </c>
      <c r="E138" s="102" t="s">
        <v>538</v>
      </c>
      <c r="F138" s="39">
        <f>HearingAids[[#This Row],[haMSRP]]-((HearingAids[[#This Row],[ListPriceBinural]]-HearingAids[[#This Row],[chargerPrice]])/2)</f>
        <v>804</v>
      </c>
      <c r="G138" s="39">
        <f>HearingAids[[#This Row],[haMSRP]]-HearingAids[[#This Row],[Discount Amount 1]]</f>
        <v>2225</v>
      </c>
      <c r="H138" s="2">
        <v>4650</v>
      </c>
      <c r="I138" s="103" t="s">
        <v>597</v>
      </c>
      <c r="J138" s="2">
        <f>(HearingAids[[#This Row],[haMSRP]]-HearingAids[[#This Row],[Discount Amount 1]])-(HearingAids[[#This Row],[haNetPriceBinural]]-HearingAids[[#This Row],[chargerPrice]])/2</f>
        <v>2325</v>
      </c>
      <c r="K138" s="2">
        <f>HearingAids[[#This Row],[HAListPrice]]-HearingAids[[#This Row],[Discount Amount 2]]</f>
        <v>-100</v>
      </c>
      <c r="L138" s="102"/>
      <c r="M138" s="102"/>
      <c r="N138" s="2">
        <f>HearingAids[[#This Row],[haNetPrice]]-((HearingAids[[#This Row],[haNetPriceBinural2]]-HearingAids[[#This Row],[chargerPrice]])/2)</f>
        <v>0</v>
      </c>
      <c r="O138" s="102">
        <f>HearingAids[[#This Row],[haNetPrice]]-HearingAids[[#This Row],[Discount Amount 3]]</f>
        <v>-100</v>
      </c>
      <c r="P138" s="102"/>
      <c r="Q138" s="104">
        <v>1</v>
      </c>
      <c r="R138" s="104" t="s">
        <v>9</v>
      </c>
      <c r="S138" s="2">
        <v>200</v>
      </c>
      <c r="T138" s="105"/>
      <c r="U138" s="105"/>
      <c r="V138" s="106"/>
      <c r="X138" s="2"/>
      <c r="Y138" s="2"/>
      <c r="Z138" s="2"/>
      <c r="AA138" s="2"/>
      <c r="AB138" s="2"/>
      <c r="AC138" s="2"/>
      <c r="AD138" s="2"/>
    </row>
    <row r="139" spans="1:31" ht="12.75" hidden="1">
      <c r="A139" s="99" t="s">
        <v>619</v>
      </c>
      <c r="B139" s="101" t="s">
        <v>620</v>
      </c>
      <c r="C139" s="60">
        <f>(HearingAids[[#This Row],[haMSRP]]*2)+HearingAids[[#This Row],[chargerPrice]]</f>
        <v>11838</v>
      </c>
      <c r="D139" s="102">
        <v>5819</v>
      </c>
      <c r="E139" s="102" t="s">
        <v>538</v>
      </c>
      <c r="F139" s="39">
        <f>HearingAids[[#This Row],[haMSRP]]-((HearingAids[[#This Row],[ListPriceBinural]]-HearingAids[[#This Row],[chargerPrice]])/2)</f>
        <v>994</v>
      </c>
      <c r="G139" s="39">
        <f>HearingAids[[#This Row],[haMSRP]]-HearingAids[[#This Row],[Discount Amount 1]]</f>
        <v>4825</v>
      </c>
      <c r="H139" s="2">
        <v>9850</v>
      </c>
      <c r="I139" s="103" t="s">
        <v>28</v>
      </c>
      <c r="J139" s="2"/>
      <c r="K139" s="2">
        <f>HearingAids[[#This Row],[HAListPrice]]-HearingAids[[#This Row],[Discount Amount 2]]</f>
        <v>4825</v>
      </c>
      <c r="L139" s="102">
        <v>9900</v>
      </c>
      <c r="M139" s="102"/>
      <c r="N139" s="2">
        <f>HearingAids[[#This Row],[haNetPrice]]-((HearingAids[[#This Row],[haNetPriceBinural2]]-HearingAids[[#This Row],[chargerPrice]])/2)</f>
        <v>4925</v>
      </c>
      <c r="O139" s="102">
        <f>HearingAids[[#This Row],[haNetPrice]]-HearingAids[[#This Row],[Discount Amount 3]]</f>
        <v>-100</v>
      </c>
      <c r="P139" s="102"/>
      <c r="Q139" s="104">
        <v>1</v>
      </c>
      <c r="R139" s="104" t="s">
        <v>9</v>
      </c>
      <c r="S139" s="2">
        <v>200</v>
      </c>
      <c r="T139" s="105" t="s">
        <v>14</v>
      </c>
      <c r="U139" s="105">
        <v>0</v>
      </c>
      <c r="V139" s="106" t="s">
        <v>11</v>
      </c>
      <c r="X139" s="2"/>
      <c r="Y139" s="2"/>
      <c r="Z139" s="2"/>
      <c r="AA139" s="2"/>
      <c r="AB139" s="2"/>
      <c r="AC139" s="2"/>
      <c r="AD139" s="2"/>
    </row>
    <row r="140" spans="1:31" ht="12.75" hidden="1">
      <c r="A140" s="99" t="s">
        <v>621</v>
      </c>
      <c r="B140" s="100" t="s">
        <v>622</v>
      </c>
      <c r="C140" s="60">
        <f>(HearingAids[[#This Row],[haMSRP]]*2)+HearingAids[[#This Row],[chargerPrice]]</f>
        <v>7578</v>
      </c>
      <c r="D140" s="102">
        <v>3689</v>
      </c>
      <c r="E140" s="102" t="s">
        <v>538</v>
      </c>
      <c r="F140" s="39">
        <f>HearingAids[[#This Row],[haMSRP]]-((HearingAids[[#This Row],[ListPriceBinural]]-HearingAids[[#This Row],[chargerPrice]])/2)</f>
        <v>194</v>
      </c>
      <c r="G140" s="39">
        <f>HearingAids[[#This Row],[haMSRP]]-HearingAids[[#This Row],[Discount Amount 1]]</f>
        <v>3495</v>
      </c>
      <c r="H140" s="2">
        <v>7190</v>
      </c>
      <c r="I140" s="103" t="s">
        <v>28</v>
      </c>
      <c r="J140" s="2"/>
      <c r="K140" s="2">
        <f>HearingAids[[#This Row],[HAListPrice]]-HearingAids[[#This Row],[Discount Amount 2]]</f>
        <v>3495</v>
      </c>
      <c r="L140" s="102">
        <v>7240</v>
      </c>
      <c r="M140" s="102"/>
      <c r="N140" s="2">
        <f>HearingAids[[#This Row],[haNetPrice]]-((HearingAids[[#This Row],[haNetPriceBinural2]]-HearingAids[[#This Row],[chargerPrice]])/2)</f>
        <v>3595</v>
      </c>
      <c r="O140" s="102">
        <f>HearingAids[[#This Row],[haNetPrice]]-HearingAids[[#This Row],[Discount Amount 3]]</f>
        <v>-100</v>
      </c>
      <c r="P140" s="102"/>
      <c r="Q140" s="104">
        <v>1</v>
      </c>
      <c r="R140" s="104" t="s">
        <v>9</v>
      </c>
      <c r="S140" s="2">
        <v>200</v>
      </c>
      <c r="T140" s="105" t="s">
        <v>14</v>
      </c>
      <c r="U140" s="105">
        <v>0</v>
      </c>
      <c r="V140" s="106" t="s">
        <v>11</v>
      </c>
      <c r="X140" s="2"/>
      <c r="Y140" s="2"/>
      <c r="Z140" s="2"/>
      <c r="AA140" s="2"/>
      <c r="AB140" s="2"/>
      <c r="AC140" s="2"/>
      <c r="AD140" s="8"/>
    </row>
    <row r="141" spans="1:31" ht="12.75" hidden="1">
      <c r="A141" s="99" t="s">
        <v>623</v>
      </c>
      <c r="B141" s="101" t="s">
        <v>624</v>
      </c>
      <c r="C141" s="60">
        <f>(HearingAids[[#This Row],[haMSRP]]*2)+HearingAids[[#This Row],[chargerPrice]]</f>
        <v>9558</v>
      </c>
      <c r="D141" s="102">
        <v>4679</v>
      </c>
      <c r="E141" s="102" t="s">
        <v>538</v>
      </c>
      <c r="F141" s="39">
        <f>HearingAids[[#This Row],[haMSRP]]-((HearingAids[[#This Row],[ListPriceBinural]]-HearingAids[[#This Row],[chargerPrice]])/2)</f>
        <v>454</v>
      </c>
      <c r="G141" s="39">
        <f>HearingAids[[#This Row],[haMSRP]]-HearingAids[[#This Row],[Discount Amount 1]]</f>
        <v>4225</v>
      </c>
      <c r="H141" s="2">
        <v>8650</v>
      </c>
      <c r="I141" s="103" t="s">
        <v>28</v>
      </c>
      <c r="J141" s="2"/>
      <c r="K141" s="2">
        <f>HearingAids[[#This Row],[HAListPrice]]-HearingAids[[#This Row],[Discount Amount 2]]</f>
        <v>4225</v>
      </c>
      <c r="L141" s="102">
        <v>8700</v>
      </c>
      <c r="M141" s="102"/>
      <c r="N141" s="2">
        <f>HearingAids[[#This Row],[haNetPrice]]-((HearingAids[[#This Row],[haNetPriceBinural2]]-HearingAids[[#This Row],[chargerPrice]])/2)</f>
        <v>4325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 t="s">
        <v>14</v>
      </c>
      <c r="U141" s="105">
        <v>0</v>
      </c>
      <c r="V141" s="106" t="s">
        <v>11</v>
      </c>
      <c r="X141" s="2"/>
      <c r="Y141" s="2"/>
      <c r="Z141" s="2"/>
      <c r="AA141" s="2"/>
      <c r="AB141" s="2"/>
      <c r="AC141" s="2"/>
      <c r="AD141" s="8"/>
    </row>
    <row r="142" spans="1:31" ht="12.75" hidden="1">
      <c r="A142" s="99" t="s">
        <v>619</v>
      </c>
      <c r="B142" s="100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625</v>
      </c>
      <c r="J142" s="2">
        <f>(HearingAids[[#This Row],[haMSRP]]-HearingAids[[#This Row],[Discount Amount 1]])-(HearingAids[[#This Row],[haNetPriceBinural]]-HearingAids[[#This Row],[chargerPrice]])/2</f>
        <v>225</v>
      </c>
      <c r="K142" s="2">
        <f>HearingAids[[#This Row],[HAListPrice]]-HearingAids[[#This Row],[Discount Amount 2]]</f>
        <v>4600</v>
      </c>
      <c r="L142" s="102">
        <v>9400</v>
      </c>
      <c r="M142" s="103" t="s">
        <v>539</v>
      </c>
      <c r="N142" s="2">
        <f>HearingAids[[#This Row],[haNetPrice]]-((HearingAids[[#This Row],[haNetPriceBinural2]]-HearingAids[[#This Row],[chargerPrice]])/2)</f>
        <v>525</v>
      </c>
      <c r="O142" s="103">
        <v>4050</v>
      </c>
      <c r="P142" s="102">
        <v>8350</v>
      </c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8"/>
    </row>
    <row r="143" spans="1:31" ht="12.75" hidden="1">
      <c r="A143" s="99" t="s">
        <v>623</v>
      </c>
      <c r="B143" s="101" t="s">
        <v>624</v>
      </c>
      <c r="C143" s="60">
        <f>(HearingAids[[#This Row],[haMSRP]]*2)+HearingAids[[#This Row],[chargerPrice]]</f>
        <v>9558</v>
      </c>
      <c r="D143" s="102">
        <v>4679</v>
      </c>
      <c r="E143" s="102" t="s">
        <v>538</v>
      </c>
      <c r="F143" s="39">
        <f>HearingAids[[#This Row],[haMSRP]]-((HearingAids[[#This Row],[ListPriceBinural]]-HearingAids[[#This Row],[chargerPrice]])/2)</f>
        <v>454</v>
      </c>
      <c r="G143" s="39">
        <f>HearingAids[[#This Row],[haMSRP]]-HearingAids[[#This Row],[Discount Amount 1]]</f>
        <v>4225</v>
      </c>
      <c r="H143" s="2">
        <v>8650</v>
      </c>
      <c r="I143" s="103" t="s">
        <v>625</v>
      </c>
      <c r="J143" s="2">
        <f>(HearingAids[[#This Row],[haMSRP]]-HearingAids[[#This Row],[Discount Amount 1]])-(HearingAids[[#This Row],[haNetPriceBinural]]-HearingAids[[#This Row],[chargerPrice]])/2</f>
        <v>225</v>
      </c>
      <c r="K143" s="2">
        <f>HearingAids[[#This Row],[HAListPrice]]-HearingAids[[#This Row],[Discount Amount 2]]</f>
        <v>4000</v>
      </c>
      <c r="L143" s="102">
        <v>8200</v>
      </c>
      <c r="M143" s="103" t="s">
        <v>539</v>
      </c>
      <c r="N143" s="2">
        <f>HearingAids[[#This Row],[haNetPrice]]-((HearingAids[[#This Row],[haNetPriceBinural2]]-HearingAids[[#This Row],[chargerPrice]])/2)</f>
        <v>525</v>
      </c>
      <c r="O143" s="103">
        <v>3450</v>
      </c>
      <c r="P143" s="102">
        <v>7150</v>
      </c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619</v>
      </c>
      <c r="B144" s="100" t="s">
        <v>620</v>
      </c>
      <c r="C144" s="60">
        <f>(HearingAids[[#This Row],[haMSRP]]*2)+HearingAids[[#This Row],[chargerPrice]]</f>
        <v>11838</v>
      </c>
      <c r="D144" s="102">
        <v>5819</v>
      </c>
      <c r="E144" s="102" t="s">
        <v>538</v>
      </c>
      <c r="F144" s="39">
        <f>HearingAids[[#This Row],[haMSRP]]-((HearingAids[[#This Row],[ListPriceBinural]]-HearingAids[[#This Row],[chargerPrice]])/2)</f>
        <v>994</v>
      </c>
      <c r="G144" s="39">
        <f>HearingAids[[#This Row],[haMSRP]]-HearingAids[[#This Row],[Discount Amount 1]]</f>
        <v>4825</v>
      </c>
      <c r="H144" s="2">
        <v>9850</v>
      </c>
      <c r="I144" s="103" t="s">
        <v>177</v>
      </c>
      <c r="J144" s="2"/>
      <c r="K144" s="2">
        <f>HearingAids[[#This Row],[HAListPrice]]-HearingAids[[#This Row],[Discount Amount 2]]</f>
        <v>4825</v>
      </c>
      <c r="L144" s="102">
        <v>9900</v>
      </c>
      <c r="M144" s="102"/>
      <c r="N144" s="2">
        <f>HearingAids[[#This Row],[haNetPrice]]-((HearingAids[[#This Row],[haNetPriceBinural2]]-HearingAids[[#This Row],[chargerPrice]])/2)</f>
        <v>4925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617</v>
      </c>
      <c r="B145" s="101" t="s">
        <v>618</v>
      </c>
      <c r="C145" s="60">
        <f>(HearingAids[[#This Row],[haMSRP]]*2)+HearingAids[[#This Row],[chargerPrice]]</f>
        <v>6258</v>
      </c>
      <c r="D145" s="102">
        <v>3029</v>
      </c>
      <c r="E145" s="102" t="s">
        <v>538</v>
      </c>
      <c r="F145" s="39">
        <f>HearingAids[[#This Row],[haMSRP]]-((HearingAids[[#This Row],[ListPriceBinural]]-HearingAids[[#This Row],[chargerPrice]])/2)</f>
        <v>804</v>
      </c>
      <c r="G145" s="39">
        <f>HearingAids[[#This Row],[haMSRP]]-HearingAids[[#This Row],[Discount Amount 1]]</f>
        <v>2225</v>
      </c>
      <c r="H145" s="2">
        <v>4650</v>
      </c>
      <c r="I145" s="103" t="s">
        <v>177</v>
      </c>
      <c r="J145" s="2"/>
      <c r="K145" s="2">
        <f>HearingAids[[#This Row],[HAListPrice]]-HearingAids[[#This Row],[Discount Amount 2]]</f>
        <v>2225</v>
      </c>
      <c r="L145" s="102">
        <v>4700</v>
      </c>
      <c r="M145" s="102"/>
      <c r="N145" s="2">
        <f>HearingAids[[#This Row],[haNetPrice]]-((HearingAids[[#This Row],[haNetPriceBinural2]]-HearingAids[[#This Row],[chargerPrice]])/2)</f>
        <v>2325</v>
      </c>
      <c r="O145" s="102">
        <f>HearingAids[[#This Row],[haNetPrice]]-HearingAids[[#This Row],[Discount Amount 3]]</f>
        <v>-100</v>
      </c>
      <c r="P145" s="102"/>
      <c r="Q145" s="104">
        <v>1</v>
      </c>
      <c r="R145" s="104" t="s">
        <v>9</v>
      </c>
      <c r="S145" s="2">
        <v>200</v>
      </c>
      <c r="T145" s="105"/>
      <c r="U145" s="105"/>
      <c r="V145" s="106"/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0" t="s">
        <v>622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177</v>
      </c>
      <c r="J146" s="2"/>
      <c r="K146" s="2">
        <f>HearingAids[[#This Row],[HAListPrice]]-HearingAids[[#This Row],[Discount Amount 2]]</f>
        <v>4225</v>
      </c>
      <c r="L146" s="102">
        <v>8700</v>
      </c>
      <c r="M146" s="102"/>
      <c r="N146" s="2">
        <f>HearingAids[[#This Row],[haNetPrice]]-((HearingAids[[#This Row],[haNetPriceBinural2]]-HearingAids[[#This Row],[chargerPrice]])/2)</f>
        <v>4325</v>
      </c>
      <c r="O146" s="102">
        <f>HearingAids[[#This Row],[haNetPrice]]-HearingAids[[#This Row],[Discount Amount 3]]</f>
        <v>-100</v>
      </c>
      <c r="P146" s="102"/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  <c r="AE146" s="25"/>
    </row>
    <row r="147" spans="1:31" ht="12.75" hidden="1">
      <c r="A147" s="99" t="s">
        <v>621</v>
      </c>
      <c r="B147" s="101" t="s">
        <v>624</v>
      </c>
      <c r="C147" s="60">
        <f>(HearingAids[[#This Row],[haMSRP]]*2)+HearingAids[[#This Row],[chargerPrice]]</f>
        <v>7578</v>
      </c>
      <c r="D147" s="102">
        <v>3689</v>
      </c>
      <c r="E147" s="102" t="s">
        <v>538</v>
      </c>
      <c r="F147" s="39">
        <f>HearingAids[[#This Row],[haMSRP]]-((HearingAids[[#This Row],[ListPriceBinural]]-HearingAids[[#This Row],[chargerPrice]])/2)</f>
        <v>194</v>
      </c>
      <c r="G147" s="39">
        <f>HearingAids[[#This Row],[haMSRP]]-HearingAids[[#This Row],[Discount Amount 1]]</f>
        <v>3495</v>
      </c>
      <c r="H147" s="2">
        <v>7190</v>
      </c>
      <c r="I147" s="103" t="s">
        <v>177</v>
      </c>
      <c r="J147" s="2"/>
      <c r="K147" s="2">
        <f>HearingAids[[#This Row],[HAListPrice]]-HearingAids[[#This Row],[Discount Amount 2]]</f>
        <v>3495</v>
      </c>
      <c r="L147" s="102">
        <v>7240</v>
      </c>
      <c r="M147" s="102"/>
      <c r="N147" s="2">
        <f>HearingAids[[#This Row],[haNetPrice]]-((HearingAids[[#This Row],[haNetPriceBinural2]]-HearingAids[[#This Row],[chargerPrice]])/2)</f>
        <v>3595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 hidden="1">
      <c r="A148" s="99" t="s">
        <v>619</v>
      </c>
      <c r="B148" s="100" t="s">
        <v>620</v>
      </c>
      <c r="C148" s="60">
        <f>(HearingAids[[#This Row],[haMSRP]]*2)+HearingAids[[#This Row],[chargerPrice]]</f>
        <v>11838</v>
      </c>
      <c r="D148" s="102">
        <v>5819</v>
      </c>
      <c r="E148" s="102" t="s">
        <v>538</v>
      </c>
      <c r="F148" s="39">
        <f>HearingAids[[#This Row],[haMSRP]]-((HearingAids[[#This Row],[ListPriceBinural]]-HearingAids[[#This Row],[chargerPrice]])/2)</f>
        <v>994</v>
      </c>
      <c r="G148" s="39">
        <f>HearingAids[[#This Row],[haMSRP]]-HearingAids[[#This Row],[Discount Amount 1]]</f>
        <v>4825</v>
      </c>
      <c r="H148" s="2">
        <v>9850</v>
      </c>
      <c r="I148" s="103" t="s">
        <v>539</v>
      </c>
      <c r="J148" s="2">
        <f>(HearingAids[[#This Row],[haMSRP]]-HearingAids[[#This Row],[Discount Amount 1]])-(HearingAids[[#This Row],[haNetPriceBinural]]-HearingAids[[#This Row],[chargerPrice]])/2</f>
        <v>475</v>
      </c>
      <c r="K148" s="2">
        <f>HearingAids[[#This Row],[HAListPrice]]-HearingAids[[#This Row],[Discount Amount 2]]</f>
        <v>4350</v>
      </c>
      <c r="L148" s="102">
        <v>8900</v>
      </c>
      <c r="M148" s="102"/>
      <c r="N148" s="2">
        <f>HearingAids[[#This Row],[haNetPrice]]-((HearingAids[[#This Row],[haNetPriceBinural2]]-HearingAids[[#This Row],[chargerPrice]])/2)</f>
        <v>4450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 t="s">
        <v>14</v>
      </c>
      <c r="U148" s="105">
        <v>0</v>
      </c>
      <c r="V148" s="106" t="s">
        <v>11</v>
      </c>
      <c r="X148" s="2"/>
      <c r="Y148" s="2"/>
      <c r="Z148" s="2"/>
      <c r="AA148" s="2"/>
      <c r="AB148" s="2"/>
      <c r="AC148" s="2"/>
      <c r="AD148" s="12"/>
      <c r="AE148" s="25"/>
    </row>
    <row r="149" spans="1:31" ht="12.75" hidden="1">
      <c r="A149" s="99" t="s">
        <v>621</v>
      </c>
      <c r="B149" s="101" t="s">
        <v>622</v>
      </c>
      <c r="C149" s="60">
        <f>(HearingAids[[#This Row],[haMSRP]]*2)+HearingAids[[#This Row],[chargerPrice]]</f>
        <v>7578</v>
      </c>
      <c r="D149" s="102">
        <v>3689</v>
      </c>
      <c r="E149" s="102" t="s">
        <v>538</v>
      </c>
      <c r="F149" s="39">
        <f>HearingAids[[#This Row],[haMSRP]]-((HearingAids[[#This Row],[ListPriceBinural]]-HearingAids[[#This Row],[chargerPrice]])/2)</f>
        <v>194</v>
      </c>
      <c r="G149" s="39">
        <f>HearingAids[[#This Row],[haMSRP]]-HearingAids[[#This Row],[Discount Amount 1]]</f>
        <v>3495</v>
      </c>
      <c r="H149" s="2">
        <v>7190</v>
      </c>
      <c r="I149" s="103" t="s">
        <v>539</v>
      </c>
      <c r="J149" s="2">
        <f>(HearingAids[[#This Row],[haMSRP]]-HearingAids[[#This Row],[Discount Amount 1]])-(HearingAids[[#This Row],[haNetPriceBinural]]-HearingAids[[#This Row],[chargerPrice]])/2</f>
        <v>475</v>
      </c>
      <c r="K149" s="2">
        <f>HearingAids[[#This Row],[HAListPrice]]-HearingAids[[#This Row],[Discount Amount 2]]</f>
        <v>3020</v>
      </c>
      <c r="L149" s="102">
        <v>6240</v>
      </c>
      <c r="M149" s="102"/>
      <c r="N149" s="2">
        <f>HearingAids[[#This Row],[haNetPrice]]-((HearingAids[[#This Row],[haNetPriceBinural2]]-HearingAids[[#This Row],[chargerPrice]])/2)</f>
        <v>3120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12"/>
    </row>
    <row r="150" spans="1:31" ht="12.75" hidden="1">
      <c r="A150" s="99" t="s">
        <v>623</v>
      </c>
      <c r="B150" s="100" t="s">
        <v>624</v>
      </c>
      <c r="C150" s="60">
        <f>(HearingAids[[#This Row],[haMSRP]]*2)+HearingAids[[#This Row],[chargerPrice]]</f>
        <v>9558</v>
      </c>
      <c r="D150" s="102">
        <v>4679</v>
      </c>
      <c r="E150" s="102" t="s">
        <v>538</v>
      </c>
      <c r="F150" s="39">
        <f>HearingAids[[#This Row],[haMSRP]]-((HearingAids[[#This Row],[ListPriceBinural]]-HearingAids[[#This Row],[chargerPrice]])/2)</f>
        <v>454</v>
      </c>
      <c r="G150" s="39">
        <f>HearingAids[[#This Row],[haMSRP]]-HearingAids[[#This Row],[Discount Amount 1]]</f>
        <v>4225</v>
      </c>
      <c r="H150" s="2">
        <v>8650</v>
      </c>
      <c r="I150" s="103" t="s">
        <v>539</v>
      </c>
      <c r="J150" s="2">
        <f>(HearingAids[[#This Row],[haMSRP]]-HearingAids[[#This Row],[Discount Amount 1]])-(HearingAids[[#This Row],[haNetPriceBinural]]-HearingAids[[#This Row],[chargerPrice]])/2</f>
        <v>475</v>
      </c>
      <c r="K150" s="2">
        <f>HearingAids[[#This Row],[HAListPrice]]-HearingAids[[#This Row],[Discount Amount 2]]</f>
        <v>3750</v>
      </c>
      <c r="L150" s="102">
        <v>7700</v>
      </c>
      <c r="M150" s="102"/>
      <c r="N150" s="2">
        <f>HearingAids[[#This Row],[haNetPrice]]-((HearingAids[[#This Row],[haNetPriceBinural2]]-HearingAids[[#This Row],[chargerPrice]])/2)</f>
        <v>3850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9" t="s">
        <v>619</v>
      </c>
      <c r="B151" s="101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421</v>
      </c>
      <c r="J151" s="2">
        <f>((HearingAids[[#This Row],[haMSRP]]-HearingAids[[#This Row],[Discount Amount 1]])-(HearingAids[[#This Row],[haNetPriceBinural]]-HearingAids[[#This Row],[chargerPrice]])/2)+500</f>
        <v>1100</v>
      </c>
      <c r="K151" s="2">
        <f>HearingAids[[#This Row],[HAListPrice]]-HearingAids[[#This Row],[Discount Amount 2]]</f>
        <v>3725</v>
      </c>
      <c r="L151" s="102">
        <v>8650</v>
      </c>
      <c r="M151" s="103"/>
      <c r="N151" s="2"/>
      <c r="O151" s="103">
        <v>3675</v>
      </c>
      <c r="P151" s="102">
        <v>7600</v>
      </c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9" t="s">
        <v>621</v>
      </c>
      <c r="B152" s="100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421</v>
      </c>
      <c r="J152" s="2">
        <f>((HearingAids[[#This Row],[haMSRP]]-HearingAids[[#This Row],[Discount Amount 1]])-(HearingAids[[#This Row],[haNetPriceBinural]]-HearingAids[[#This Row],[chargerPrice]])/2)+500</f>
        <v>670</v>
      </c>
      <c r="K152" s="2">
        <f>HearingAids[[#This Row],[HAListPrice]]-HearingAids[[#This Row],[Discount Amount 2]]</f>
        <v>2825</v>
      </c>
      <c r="L152" s="102">
        <v>6850</v>
      </c>
      <c r="M152" s="103"/>
      <c r="N152" s="2"/>
      <c r="O152" s="103">
        <v>2775</v>
      </c>
      <c r="P152" s="102">
        <v>5800</v>
      </c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107" t="s">
        <v>623</v>
      </c>
      <c r="B153" s="108" t="s">
        <v>624</v>
      </c>
      <c r="C153" s="60">
        <f>(HearingAids[[#This Row],[haMSRP]]*2)+HearingAids[[#This Row],[chargerPrice]]</f>
        <v>9558</v>
      </c>
      <c r="D153" s="109">
        <v>4679</v>
      </c>
      <c r="E153" s="109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10" t="s">
        <v>421</v>
      </c>
      <c r="J153" s="2">
        <f>((HearingAids[[#This Row],[haMSRP]]-HearingAids[[#This Row],[Discount Amount 1]])-(HearingAids[[#This Row],[haNetPriceBinural]]-HearingAids[[#This Row],[chargerPrice]])/2)+500</f>
        <v>1000</v>
      </c>
      <c r="K153" s="2">
        <f>HearingAids[[#This Row],[HAListPrice]]-HearingAids[[#This Row],[Discount Amount 2]]</f>
        <v>3225</v>
      </c>
      <c r="L153" s="109">
        <v>7650</v>
      </c>
      <c r="M153" s="110"/>
      <c r="N153" s="109"/>
      <c r="O153" s="110">
        <v>3175</v>
      </c>
      <c r="P153" s="109">
        <v>6600</v>
      </c>
      <c r="Q153" s="111">
        <v>1</v>
      </c>
      <c r="R153" s="111" t="s">
        <v>9</v>
      </c>
      <c r="S153" s="2">
        <v>200</v>
      </c>
      <c r="T153" s="112" t="s">
        <v>14</v>
      </c>
      <c r="U153" s="112">
        <v>0</v>
      </c>
      <c r="V153" s="113" t="s">
        <v>11</v>
      </c>
      <c r="X153" s="2"/>
      <c r="Y153" s="2"/>
      <c r="Z153" s="2"/>
      <c r="AA153" s="2"/>
      <c r="AB153" s="2"/>
      <c r="AC153" s="2"/>
      <c r="AD153" s="8"/>
    </row>
    <row r="154" spans="1:31" ht="12.75">
      <c r="A154" s="3"/>
      <c r="B154" s="3"/>
      <c r="C154" s="3"/>
      <c r="I154" s="8"/>
      <c r="J154" s="8"/>
      <c r="K154" s="8"/>
      <c r="L154" s="2"/>
      <c r="M154" s="2"/>
      <c r="N154" s="2"/>
      <c r="O154" s="2"/>
      <c r="Q154" s="4"/>
      <c r="U154" s="2"/>
      <c r="X154" s="2"/>
      <c r="Y154" s="2"/>
      <c r="Z154" s="2"/>
      <c r="AA154" s="2"/>
      <c r="AB154" s="2"/>
      <c r="AC154" s="2"/>
      <c r="AD154" s="8"/>
    </row>
    <row r="155" spans="1:31" ht="12.75">
      <c r="A155" s="3"/>
      <c r="B155" s="3"/>
      <c r="C155" s="3"/>
      <c r="I155" s="8"/>
      <c r="J155" s="8"/>
      <c r="K155" s="8"/>
      <c r="L155" s="2"/>
      <c r="M155" s="2"/>
      <c r="N155" s="2"/>
      <c r="O155" s="2"/>
      <c r="Q155" s="4"/>
      <c r="U155" s="2"/>
      <c r="X155" s="2"/>
      <c r="Y155" s="2"/>
      <c r="Z155" s="2"/>
      <c r="AA155" s="2"/>
      <c r="AB155" s="2"/>
      <c r="AC155" s="2"/>
      <c r="AD155" s="8"/>
    </row>
    <row r="156" spans="1:31" ht="12.75">
      <c r="A156" s="3"/>
      <c r="B156" s="3"/>
      <c r="C156" s="3"/>
      <c r="I156" s="8"/>
      <c r="J156" s="8"/>
      <c r="K156" s="8"/>
      <c r="L156" s="2"/>
      <c r="M156" s="2"/>
      <c r="N156" s="2"/>
      <c r="O156" s="2"/>
      <c r="Q156" s="4"/>
      <c r="U156" s="2"/>
      <c r="X156" s="2"/>
      <c r="Y156" s="2"/>
      <c r="Z156" s="2"/>
      <c r="AA156" s="2"/>
      <c r="AB156" s="2"/>
      <c r="AC156" s="2"/>
      <c r="AD156" s="8"/>
    </row>
    <row r="157" spans="1:31" ht="12.75">
      <c r="A157" s="3"/>
      <c r="B157" s="3"/>
      <c r="C157" s="3"/>
      <c r="I157" s="8"/>
      <c r="J157" s="8"/>
      <c r="K157" s="8"/>
      <c r="L157" s="2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8"/>
    </row>
    <row r="158" spans="1:31" ht="12.75">
      <c r="A158" s="3"/>
      <c r="B158" s="3"/>
      <c r="C158" s="3"/>
      <c r="I158" s="8"/>
      <c r="J158" s="8"/>
      <c r="K158" s="8"/>
      <c r="L158" s="2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2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2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8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1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1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1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3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12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12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12"/>
    </row>
    <row r="193" spans="1:30" ht="12.75">
      <c r="A193" s="3"/>
      <c r="B193" s="3"/>
      <c r="C193" s="3"/>
      <c r="I193" s="22"/>
      <c r="J193" s="22"/>
      <c r="K193" s="22"/>
      <c r="L193" s="22"/>
      <c r="M193" s="32"/>
      <c r="N193" s="22"/>
      <c r="O193" s="22"/>
      <c r="Q193" s="4"/>
      <c r="U193" s="22"/>
      <c r="X193" s="22"/>
      <c r="Y193" s="22"/>
      <c r="Z193" s="22"/>
      <c r="AA193" s="22"/>
      <c r="AB193" s="22"/>
      <c r="AD193" s="25"/>
    </row>
    <row r="194" spans="1:30" ht="12.75">
      <c r="A194" s="30"/>
      <c r="B194" s="30"/>
      <c r="C194" s="30"/>
      <c r="I194" s="32"/>
      <c r="J194" s="32"/>
      <c r="K194" s="32"/>
      <c r="L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L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L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abSelected="1"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C4" sqref="C4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2025-11-05T15:27:09Z</dcterms:modified>
  <cp:category/>
  <cp:contentStatus/>
</cp:coreProperties>
</file>