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277" documentId="8_{964C585B-190F-46EC-9553-F8D486DF59FA}" xr6:coauthVersionLast="47" xr6:coauthVersionMax="47" xr10:uidLastSave="{F7692134-C93C-4B42-BE6F-6BC8A9C2C3B6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60" i="1" l="1"/>
  <c r="N160" i="1" s="1"/>
  <c r="L161" i="1"/>
  <c r="N161" i="1" s="1"/>
  <c r="L162" i="1"/>
  <c r="N162" i="1" s="1"/>
  <c r="L163" i="1"/>
  <c r="N163" i="1" s="1"/>
  <c r="C160" i="1"/>
  <c r="F160" i="1" s="1"/>
  <c r="G160" i="1" s="1"/>
  <c r="C161" i="1"/>
  <c r="C162" i="1"/>
  <c r="F162" i="1" s="1"/>
  <c r="G162" i="1" s="1"/>
  <c r="C163" i="1"/>
  <c r="F163" i="1" s="1"/>
  <c r="G163" i="1" s="1"/>
  <c r="F48" i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F161" i="1" l="1"/>
  <c r="J163" i="1"/>
  <c r="J162" i="1"/>
  <c r="J160" i="1"/>
  <c r="K160" i="1" s="1"/>
  <c r="O160" i="1" s="1"/>
  <c r="J47" i="1"/>
  <c r="K47" i="1" s="1"/>
  <c r="J48" i="1"/>
  <c r="K48" i="1" s="1"/>
  <c r="G46" i="1"/>
  <c r="K46" i="1" s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61" i="1" l="1"/>
  <c r="J161" i="1"/>
  <c r="B3" i="3"/>
  <c r="K163" i="1"/>
  <c r="O163" i="1" s="1"/>
  <c r="K162" i="1"/>
  <c r="O162" i="1" s="1"/>
  <c r="G125" i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61" i="1" l="1"/>
  <c r="O161" i="1" s="1"/>
  <c r="K137" i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<sst xmlns="http://schemas.openxmlformats.org/spreadsheetml/2006/main" count="2867" uniqueCount="638">
  <si>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</si>
  <si>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</si>
  <si>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</si>
  <si>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</si>
  <si>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</si>
  <si>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</si>
  <si>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</si>
  <si>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</si>
  <si>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</si>
  <si>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</si>
  <si>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</si>
  <si>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</si>
  <si>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</si>
  <si>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</si>
  <si>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</si>
  <si>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</si>
  <si>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</si>
  <si>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</si>
  <si>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</si>
  <si>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</si>
  <si>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</si>
  <si>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</si>
  <si>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</si>
  <si>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</si>
  <si>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</si>
  <si>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</si>
  <si>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</si>
  <si>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</si>
  <si>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</si>
  <si>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</si>
  <si>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</si>
  <si>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</si>
  <si>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</si>
  <si>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</si>
  <si>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</si>
  <si>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</si>
  <si>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</si>
  <si>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</si>
  <si>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</si>
  <si>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</si>
  <si>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</si>
  <si>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</si>
  <si>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</si>
  <si>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</si>
  <si>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</si>
  <si>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</si>
  <si>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</si>
  <si>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</si>
  <si>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</si>
  <si>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</si>
  <si>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</si>
  <si>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</si>
  <si>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</si>
  <si>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</si>
  <si>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</si>
  <si>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</si>
  <si>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</si>
  <si>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</si>
  <si>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</si>
  <si>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</si>
  <si>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</si>
  <si>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</si>
  <si>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</si>
  <si>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</si>
  <si>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</si>
  <si>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</si>
  <si>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</si>
  <si>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</si>
  <si>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</si>
  <si>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</si>
  <si>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</si>
  <si>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</si>
  <si>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</si>
  <si>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</si>
  <si>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</si>
  <si>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</si>
  <si>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</si>
  <si>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</si>
  <si>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</si>
  <si>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</si>
  <si>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</si>
  <si>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</si>
  <si>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</si>
  <si>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</si>
  <si>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</si>
  <si>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</si>
  <si>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</si>
  <si>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</si>
  <si>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</si>
  <si>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</si>
  <si>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</si>
  <si>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</si>
  <si>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</si>
  <si>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</si>
  <si>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</si>
  <si>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</si>
  <si>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</si>
  <si>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</si>
  <si>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</si>
  <si>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</si>
  <si>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</si>
  <si>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</si>
  <si>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</si>
  <si>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</si>
  <si>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</si>
  <si>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</si>
  <si>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</si>
  <si>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</si>
  <si>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</si>
  <si>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</si>
  <si>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</si>
  <si>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</si>
  <si>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</si>
  <si>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</si>
  <si>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</si>
  <si>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</si>
  <si>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</si>
  <si>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</si>
  <si>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</si>
  <si>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</si>
  <si>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</si>
  <si>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</si>
  <si>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</si>
  <si>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</si>
  <si>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</si>
  <si>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</si>
  <si>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</si>
  <si>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</si>
  <si>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</si>
  <si>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</si>
  <si>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</si>
  <si>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</si>
  <si>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</si>
  <si>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</si>
  <si>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</si>
  <si>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</si>
  <si>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</si>
  <si>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</si>
  <si>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</si>
  <si>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</si>
  <si>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</si>
  <si>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</si>
  <si>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</si>
  <si>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</si>
  <si>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</si>
  <si>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</si>
  <si>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</si>
  <si>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</si>
  <si>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</si>
  <si>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</si>
  <si>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</si>
  <si>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</si>
  <si>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</si>
  <si>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</si>
  <si>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</si>
  <si>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</si>
  <si>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</si>
  <si>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</si>
  <si>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</si>
  <si>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</si>
  <si>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</si>
  <si>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</si>
  <si>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</si>
  <si>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</si>
  <si>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</si>
  <si>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</si>
  <si>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</si>
  <si>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</si>
  <si>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</si>
  <si>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</si>
  <si>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</si>
  <si>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</si>
  <si>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</si>
  <si>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</si>
  <si>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</si>
  <si>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</si>
  <si>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</si>
  <si>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</si>
  <si>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</si>
  <si>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</si>
  <si>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</si>
  <si>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</si>
  <si>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</si>
  <si>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</si>
  <si>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</si>
  <si>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</si>
  <si>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</si>
  <si>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</si>
  <si>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</si>
  <si>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</si>
  <si>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</si>
  <si>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</si>
  <si>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</si>
  <si>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</si>
  <si>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</si>
  <si>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</si>
  <si>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</si>
  <si>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</si>
  <si>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</si>
  <si>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</si>
  <si>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</si>
  <si>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</si>
  <si>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</si>
  <si>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</si>
  <si>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</si>
  <si>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</si>
  <si>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</si>
  <si>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</si>
  <si>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</si>
  <si>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</si>
  <si>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</si>
  <si>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</si>
  <si>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</si>
  <si>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</si>
  <si>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</si>
  <si>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</si>
  <si>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</si>
  <si>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</si>
  <si>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</si>
  <si>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</si>
  <si>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</si>
  <si>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</si>
  <si>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</si>
  <si>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</si>
  <si>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</si>
  <si>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</si>
  <si>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</si>
  <si>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</si>
  <si>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</si>
  <si>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</si>
  <si>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</si>
  <si>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</si>
  <si>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</si>
  <si>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</si>
  <si>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</si>
  <si>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</si>
  <si>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</si>
  <si>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</si>
  <si>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</si>
  <si>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</si>
  <si>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</si>
  <si>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</si>
  <si>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</si>
  <si>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</si>
  <si>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</si>
  <si>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</si>
  <si>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</si>
  <si>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</si>
  <si>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</si>
  <si>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</si>
  <si>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</si>
  <si>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</si>
  <si>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</si>
  <si>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</si>
  <si>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</si>
  <si>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</si>
  <si>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</si>
  <si>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</si>
  <si>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</si>
  <si>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</si>
  <si>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</si>
  <si>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</si>
  <si>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</si>
  <si>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</si>
  <si>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</si>
  <si>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</si>
  <si>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</si>
  <si>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</si>
  <si>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</si>
  <si>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</si>
  <si>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</si>
  <si>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</si>
  <si>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</si>
  <si>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</si>
  <si>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</si>
  <si>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</si>
  <si>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</si>
  <si>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</si>
  <si>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</si>
  <si>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</si>
  <si>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</si>
  <si>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</si>
  <si>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</si>
  <si>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</si>
  <si>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</si>
  <si>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</si>
  <si>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</si>
  <si>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</si>
  <si>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</si>
  <si>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</si>
  <si>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</si>
  <si>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</si>
  <si>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</si>
  <si>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</si>
  <si>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</si>
  <si>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</si>
  <si>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</si>
  <si>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</si>
  <si>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</si>
  <si>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</si>
  <si>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</si>
  <si>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</si>
  <si>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</si>
  <si>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</si>
  <si>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</si>
  <si>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</si>
  <si>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</si>
  <si>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</si>
  <si>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</si>
  <si>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</si>
  <si>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</si>
  <si>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</si>
  <si>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</si>
  <si>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</si>
  <si>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</si>
  <si>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</si>
  <si>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</si>
  <si>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</si>
  <si>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</si>
  <si>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</si>
  <si>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</si>
  <si>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</si>
  <si>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</si>
  <si>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</si>
  <si>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</si>
  <si>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</si>
  <si>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</si>
  <si>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</si>
  <si>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</si>
  <si>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</si>
  <si>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</si>
  <si>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</si>
  <si>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</si>
  <si>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</si>
  <si>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</si>
  <si>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</si>
  <si>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</si>
  <si>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</si>
  <si>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</si>
  <si>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</si>
  <si>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</si>
  <si>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</si>
  <si>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</si>
  <si>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</si>
  <si>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</si>
  <si>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</si>
  <si>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</si>
  <si>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</si>
  <si>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</si>
  <si>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</si>
  <si>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</si>
  <si>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</si>
  <si>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</si>
  <si>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</si>
  <si>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</si>
  <si>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</si>
  <si>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</si>
  <si>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</si>
  <si>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</si>
  <si>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</si>
  <si>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</si>
  <si>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</si>
  <si>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</si>
  <si>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</si>
  <si>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</si>
  <si>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</si>
  <si>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</si>
  <si>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</si>
  <si>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</si>
  <si>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</si>
  <si>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</si>
  <si>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</si>
  <si>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</si>
  <si>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</si>
  <si>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</si>
  <si>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</si>
  <si>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</si>
  <si>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</si>
  <si>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</si>
  <si>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</si>
  <si>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</si>
  <si>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</si>
  <si>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</si>
  <si>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</si>
  <si>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</si>
  <si>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</si>
  <si>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</si>
  <si>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</si>
  <si>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</si>
  <si>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</si>
  <si>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</si>
  <si>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</si>
  <si>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</si>
  <si>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</si>
  <si>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</si>
  <si>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</si>
  <si>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</si>
  <si>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</si>
  <si>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</si>
  <si>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</si>
  <si>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</si>
  <si>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</si>
  <si>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</si>
  <si>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</si>
  <si>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</si>
  <si>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</si>
  <si>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</si>
  <si>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</si>
  <si>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</si>
  <si>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</si>
  <si>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</si>
  <si>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</si>
  <si>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</si>
  <si>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</si>
  <si>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</si>
  <si>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</si>
  <si>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</si>
  <si>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</si>
  <si>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</si>
  <si>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</si>
  <si>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</si>
  <si>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</si>
  <si>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</si>
  <si>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</si>
  <si>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</si>
  <si>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</si>
  <si>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</si>
  <si>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</si>
  <si>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</si>
  <si>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</si>
  <si>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</si>
  <si>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</si>
  <si>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</si>
  <si>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</si>
  <si>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</si>
  <si>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</si>
  <si>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</si>
  <si>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</si>
  <si>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</si>
  <si>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</si>
  <si>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</si>
  <si>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</si>
  <si>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</si>
  <si>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</si>
  <si>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</si>
  <si>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</si>
  <si>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</si>
  <si>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</si>
  <si>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</si>
  <si>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</si>
  <si>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</si>
  <si>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</si>
  <si>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</si>
  <si>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</si>
  <si>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</si>
  <si>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</si>
  <si>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</si>
  <si>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</si>
  <si>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</si>
  <si>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</si>
  <si>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</si>
  <si>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</si>
  <si>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</si>
  <si>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</si>
  <si>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</si>
  <si>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</si>
  <si>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</si>
  <si>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</si>
  <si>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</si>
  <si>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</si>
  <si>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</si>
  <si>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</si>
  <si>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</si>
  <si>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</si>
  <si>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</si>
  <si>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</si>
  <si>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</si>
  <si>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</si>
  <si>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</si>
  <si>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</si>
  <si>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</si>
  <si>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</si>
  <si>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</si>
  <si>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</si>
  <si>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</si>
  <si>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</si>
  <si>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</si>
  <si>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</si>
  <si>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</si>
  <si>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</si>
  <si>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</si>
  <si>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</si>
  <si>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</si>
  <si>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</si>
  <si>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</si>
  <si>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</si>
  <si>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</si>
  <si>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</si>
  <si>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</si>
  <si>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</si>
  <si>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</si>
  <si>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</si>
  <si>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</si>
  <si>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</si>
  <si>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</si>
  <si>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</si>
  <si>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</si>
  <si>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</si>
  <si>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</si>
  <si>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</si>
  <si>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</si>
  <si>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</si>
  <si>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</si>
  <si>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</si>
  <si>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</si>
  <si>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</si>
  <si>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</si>
  <si>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</si>
  <si>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</si>
  <si>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</si>
  <si>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</si>
  <si>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</si>
  <si>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</si>
  <si>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</si>
  <si>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</si>
  <si>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</si>
  <si>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</si>
  <si>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</si>
  <si>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</si>
  <si>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</si>
  <si>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</si>
  <si>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</si>
  <si>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</si>
  <si>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</si>
  <si>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</si>
  <si>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</si>
  <si>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</si>
  <si>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</si>
  <si>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</si>
  <si>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</si>
  <si>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</si>
  <si>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</si>
  <si>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</si>
  <si>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</si>
  <si>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</si>
  <si>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</si>
  <si>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</si>
  <si>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</si>
  <si>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</si>
  <si>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</si>
  <si>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</si>
  <si>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</si>
  <si>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</si>
  <si>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</si>
  <si>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</si>
  <si>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</si>
  <si>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</si>
  <si>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</si>
  <si>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</si>
  <si>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</si>
  <si>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</si>
  <si>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</si>
  <si>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</si>
  <si>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</si>
  <si>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</si>
  <si>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</si>
  <si>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</si>
  <si>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</si>
  <si>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</si>
  <si>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</si>
  <si>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</si>
  <si>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</si>
  <si>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</si>
  <si>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</si>
  <si>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</si>
  <si>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</si>
  <si>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</si>
  <si>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</si>
  <si>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</si>
  <si>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</si>
  <si>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</si>
  <si>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</si>
  <si>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</si>
  <si>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</si>
  <si>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</si>
  <si>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</si>
  <si>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</si>
  <si>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</si>
  <si>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</si>
  <si>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</si>
  <si>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</si>
  <si>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</si>
  <si>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</si>
  <si>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</si>
  <si>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</si>
  <si>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</si>
  <si>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</si>
  <si>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</si>
  <si>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</si>
  <si>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</si>
  <si>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</si>
  <si>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</si>
  <si>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</si>
  <si>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</si>
  <si>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</si>
  <si>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</si>
  <si>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</si>
  <si>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</si>
  <si>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</si>
  <si>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</si>
  <si>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</si>
  <si>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</si>
  <si>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</si>
  <si>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</si>
  <si>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</si>
  <si>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</si>
  <si>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</si>
  <si>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UHCH Competitive</t>
  </si>
  <si>
    <t>Envision 17 Special</t>
  </si>
  <si>
    <t>Envision 6 Special</t>
  </si>
  <si>
    <t>Envision 9 Special</t>
  </si>
  <si>
    <t>Beltone BTE Digital Boost Max S 17 95-DWHC</t>
  </si>
  <si>
    <t>Beltone BTE Digital Boost Max S 6 95-DWHC</t>
  </si>
  <si>
    <t>Beltone BTE Digital Boost Max S 9 95-DWHC</t>
  </si>
  <si>
    <t>Beltone BTE Digital Boost Max S 4 95-DWHC</t>
  </si>
  <si>
    <t>Beltone Boost Max S 4 95-DWHC Digital BTE</t>
  </si>
  <si>
    <t>Beltone Boost Max S 17 95-DWHC Digital BTE</t>
  </si>
  <si>
    <t>Beltone Boost Max S 6 95-DWHC Digital BTE</t>
  </si>
  <si>
    <t>Beltone Boost Max S 9 95-DWHC Digital BTE</t>
  </si>
  <si>
    <t>Beltone RIE Digital XC 4 61DRWC</t>
  </si>
  <si>
    <t>Beltone RIE Digital XF 5 60SDRWC</t>
  </si>
  <si>
    <t>Beltone RIE Digital XF 7 60SDRWC</t>
  </si>
  <si>
    <t>Beltone RIE Digital XF 9 60SDRWC</t>
  </si>
  <si>
    <t>Beltone XC 4 61DRWC Digital RIE</t>
  </si>
  <si>
    <t>Beltone XF 5 60SDRWC Digital RIE</t>
  </si>
  <si>
    <t>Beltone XF 7 60SDRWC Digital RIE</t>
  </si>
  <si>
    <t>Beltone XF 9 60SDRWC Digital RIE</t>
  </si>
  <si>
    <t>BCBS Blue365 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</si>
</sst>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7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Fill="1"/>
    <xf numFmtId="0" fontId="1" fillId="0" borderId="0" xfId="0" applyFont="1" applyAlignment="1"/>
    <xf numFmtId="43" fontId="1" fillId="0" borderId="0" xfId="1" applyNumberFormat="1" applyFont="1" applyFill="1"/>
    <xf numFmtId="43" fontId="1" fillId="0" borderId="0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3" totalsRowShown="0" headerRowDxfId="59" dataDxfId="58">
  <autoFilter ref="A1:V163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632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637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5579</v>
      </c>
      <c r="C13" s="74" t="s">
        <v>412</v>
      </c>
      <c r="D13" s="76" cm="1">
        <f t="array" ref="D13">IF($B$5=1,"",_xlfn.XLOOKUP($B$3&amp;$B$7,haList!A:A&amp;haList!I:I,haList!D:D))</f>
        <v>5579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162.5</v>
      </c>
      <c r="C14" s="74" t="s">
        <v>538</v>
      </c>
      <c r="D14" s="61" cm="1">
        <f t="array" ref="D14">IF(B5=1,"",_xlfn.XLOOKUP($B$3,haList!$A:$A,-haList!$F:$F))</f>
        <v>162.5</v>
      </c>
      <c r="E14" s="57"/>
      <c r="F14" s="57"/>
    </row>
    <row r="15" spans="1:8" ht="18" customHeight="1">
      <c r="A15" s="74" t="s">
        <v>587</v>
      </c>
      <c r="B15" s="75">
        <f>B13+B14</f>
        <v>5741.5</v>
      </c>
      <c r="C15" s="74" t="s">
        <v>587</v>
      </c>
      <c r="D15" s="77">
        <f>IF(B5=1,"",D13+D14)</f>
        <v>5741.5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-3405</v>
      </c>
      <c r="C16" s="74" t="s">
        <v>588</v>
      </c>
      <c r="D16" s="75" cm="1">
        <f t="array" ref="D16">IF(B5=1,"",_xlfn.XLOOKUP($B$3&amp;$B$7,haList!$A:$A&amp;haList!$I:$I,-haList!$J:$J))</f>
        <v>-3405</v>
      </c>
      <c r="E16" s="57"/>
      <c r="F16" s="57"/>
    </row>
    <row r="17" spans="1:9" ht="18" customHeight="1">
      <c r="A17" s="74" t="s">
        <v>589</v>
      </c>
      <c r="B17" s="75">
        <f>B15+B16</f>
        <v>2336.5</v>
      </c>
      <c r="C17" s="74" t="s">
        <v>589</v>
      </c>
      <c r="D17" s="77">
        <f>IF(B5=1,"",D15+D16)</f>
        <v>2336.5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2336.5</v>
      </c>
      <c r="C19" s="78" t="s">
        <v>591</v>
      </c>
      <c r="D19" s="80">
        <f>IF(B5=1,"",D17+D18)</f>
        <v>2336.5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2336.5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2336.5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4998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5398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5398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4858.2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="80" zoomScaleNormal="80" workbookViewId="0">
      <pane xSplit="1" ySplit="1" topLeftCell="B133" activePane="bottomRight" state="frozen"/>
      <selection pane="topRight" activeCell="B1" sqref="B1"/>
      <selection pane="bottomLeft" activeCell="A2" sqref="A2"/>
      <selection pane="bottomRight" activeCell="B169" sqref="B169"/>
    </sheetView>
  </sheetViews>
  <sheetFormatPr defaultColWidth="9.140625" defaultRowHeight="12"/>
  <cols>
    <col min="1" max="1" width="53.85546875" customWidth="1"/>
    <col min="2" max="2" width="50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42" t="s">
        <v>624</v>
      </c>
      <c r="B35" s="142" t="s">
        <v>625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621</v>
      </c>
      <c r="B43" s="142" t="s">
        <v>626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622</v>
      </c>
      <c r="B44" s="142" t="s">
        <v>627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142" t="s">
        <v>628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618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619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620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621</v>
      </c>
      <c r="B91" s="142" t="s">
        <v>626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42" t="s">
        <v>624</v>
      </c>
      <c r="B92" s="142" t="s">
        <v>625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142" t="s">
        <v>627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622</v>
      </c>
      <c r="B94" s="142" t="s">
        <v>628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621</v>
      </c>
      <c r="B123" s="142" t="s">
        <v>626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622</v>
      </c>
      <c r="B124" s="142" t="s">
        <v>627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142" t="s">
        <v>628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621</v>
      </c>
      <c r="B137" s="142" t="s">
        <v>626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622</v>
      </c>
      <c r="B138" s="142" t="s">
        <v>627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142" t="s">
        <v>628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617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617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617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617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173" t="s">
        <v>629</v>
      </c>
      <c r="B160" s="174" t="s">
        <v>633</v>
      </c>
      <c r="C160" s="55">
        <f>(HearingAids[[#This Row],[haMSRP]]*2)+HearingAids[[#This Row],[chargerPrice]]</f>
        <v>6043</v>
      </c>
      <c r="D160" s="143">
        <v>2909</v>
      </c>
      <c r="E160" s="51" t="s">
        <v>538</v>
      </c>
      <c r="F160" s="144">
        <f>HearingAids[[#This Row],[haMSRP]]-((HearingAids[[#This Row],[ListPriceBinural]]-HearingAids[[#This Row],[chargerPrice]])/2)</f>
        <v>-112.5</v>
      </c>
      <c r="G160" s="38">
        <f>HearingAids[[#This Row],[haMSRP]]-HearingAids[[#This Row],[Discount Amount 1]]</f>
        <v>3021.5</v>
      </c>
      <c r="H160" s="101">
        <v>6268</v>
      </c>
      <c r="I160" s="145" t="s">
        <v>637</v>
      </c>
      <c r="J160" s="144">
        <f>(HearingAids[[#This Row],[haMSRP]]-HearingAids[[#This Row],[Discount Amount 1]])-(HearingAids[[#This Row],[haNetPriceBinural]]-HearingAids[[#This Row],[chargerPrice]])/2</f>
        <v>1935</v>
      </c>
      <c r="K160" s="175">
        <f>HearingAids[[#This Row],[HAListPrice]]-HearingAids[[#This Row],[Discount Amount 2]]</f>
        <v>1086.5</v>
      </c>
      <c r="L160" s="152">
        <f>1199*2</f>
        <v>2398</v>
      </c>
      <c r="M160" s="146"/>
      <c r="N160" s="176">
        <f>((HearingAids[[#This Row],[haNetPriceBinural]]-HearingAids[[#This Row],[chargerPrice]])/2)-HearingAids[[#This Row],[haNetPriceBinural2]]</f>
        <v>1086.5</v>
      </c>
      <c r="O160" s="176">
        <f>HearingAids[[#This Row],[haNetPrice]]-HearingAids[[#This Row],[Discount Amount 3]]</f>
        <v>0</v>
      </c>
      <c r="P160" s="144"/>
      <c r="Q160" s="15">
        <v>1</v>
      </c>
      <c r="R160" s="157" t="s">
        <v>9</v>
      </c>
      <c r="S160" s="22">
        <v>225</v>
      </c>
      <c r="T160" s="24" t="s">
        <v>26</v>
      </c>
      <c r="U160" s="2">
        <v>0</v>
      </c>
      <c r="V160" s="161" t="s">
        <v>11</v>
      </c>
      <c r="X160" s="2"/>
      <c r="Y160" s="2"/>
      <c r="Z160" s="2"/>
      <c r="AA160" s="2"/>
      <c r="AB160" s="2"/>
      <c r="AC160" s="2"/>
      <c r="AD160" s="2"/>
    </row>
    <row r="161" spans="1:30" ht="12.75">
      <c r="A161" s="173" t="s">
        <v>630</v>
      </c>
      <c r="B161" s="174" t="s">
        <v>634</v>
      </c>
      <c r="C161" s="55">
        <f>(HearingAids[[#This Row],[haMSRP]]*2)+HearingAids[[#This Row],[chargerPrice]]</f>
        <v>7463</v>
      </c>
      <c r="D161" s="143">
        <v>3569</v>
      </c>
      <c r="E161" s="51" t="s">
        <v>538</v>
      </c>
      <c r="F161" s="144">
        <f>HearingAids[[#This Row],[haMSRP]]-((HearingAids[[#This Row],[ListPriceBinural]]-HearingAids[[#This Row],[chargerPrice]])/2)</f>
        <v>-162.5</v>
      </c>
      <c r="G161" s="38">
        <f>HearingAids[[#This Row],[haMSRP]]-HearingAids[[#This Row],[Discount Amount 1]]</f>
        <v>3731.5</v>
      </c>
      <c r="H161" s="101">
        <v>7788</v>
      </c>
      <c r="I161" s="145" t="s">
        <v>637</v>
      </c>
      <c r="J161" s="144">
        <f>(HearingAids[[#This Row],[haMSRP]]-HearingAids[[#This Row],[Discount Amount 1]])-(HearingAids[[#This Row],[haNetPriceBinural]]-HearingAids[[#This Row],[chargerPrice]])/2</f>
        <v>2095</v>
      </c>
      <c r="K161" s="175">
        <f>HearingAids[[#This Row],[HAListPrice]]-HearingAids[[#This Row],[Discount Amount 2]]</f>
        <v>1636.5</v>
      </c>
      <c r="L161" s="152">
        <f>1799*2</f>
        <v>3598</v>
      </c>
      <c r="M161" s="146"/>
      <c r="N161" s="176">
        <f>((HearingAids[[#This Row],[haNetPriceBinural]]-HearingAids[[#This Row],[chargerPrice]])/2)-HearingAids[[#This Row],[haNetPriceBinural2]]</f>
        <v>1636.5</v>
      </c>
      <c r="O161" s="176">
        <f>HearingAids[[#This Row],[haNetPrice]]-HearingAids[[#This Row],[Discount Amount 3]]</f>
        <v>0</v>
      </c>
      <c r="P161" s="144"/>
      <c r="Q161" s="15">
        <v>1</v>
      </c>
      <c r="R161" s="2" t="s">
        <v>13</v>
      </c>
      <c r="S161" s="39">
        <v>325</v>
      </c>
      <c r="T161" s="11" t="s">
        <v>14</v>
      </c>
      <c r="U161" s="2">
        <v>0</v>
      </c>
      <c r="V161" s="161" t="s">
        <v>11</v>
      </c>
      <c r="X161" s="2"/>
      <c r="Y161" s="2"/>
      <c r="Z161" s="2"/>
      <c r="AA161" s="2"/>
      <c r="AB161" s="2"/>
      <c r="AC161" s="2"/>
      <c r="AD161" s="8"/>
    </row>
    <row r="162" spans="1:30" ht="12.75">
      <c r="A162" s="173" t="s">
        <v>631</v>
      </c>
      <c r="B162" s="174" t="s">
        <v>635</v>
      </c>
      <c r="C162" s="55">
        <f>(HearingAids[[#This Row],[haMSRP]]*2)+HearingAids[[#This Row],[chargerPrice]]</f>
        <v>9323</v>
      </c>
      <c r="D162" s="143">
        <v>4499</v>
      </c>
      <c r="E162" s="51" t="s">
        <v>538</v>
      </c>
      <c r="F162" s="144">
        <f>HearingAids[[#This Row],[haMSRP]]-((HearingAids[[#This Row],[ListPriceBinural]]-HearingAids[[#This Row],[chargerPrice]])/2)</f>
        <v>-162.5</v>
      </c>
      <c r="G162" s="38">
        <f>HearingAids[[#This Row],[haMSRP]]-HearingAids[[#This Row],[Discount Amount 1]]</f>
        <v>4661.5</v>
      </c>
      <c r="H162" s="101">
        <v>9648</v>
      </c>
      <c r="I162" s="145" t="s">
        <v>637</v>
      </c>
      <c r="J162" s="144">
        <f>(HearingAids[[#This Row],[haMSRP]]-HearingAids[[#This Row],[Discount Amount 1]])-(HearingAids[[#This Row],[haNetPriceBinural]]-HearingAids[[#This Row],[chargerPrice]])/2</f>
        <v>2575</v>
      </c>
      <c r="K162" s="175">
        <f>HearingAids[[#This Row],[HAListPrice]]-HearingAids[[#This Row],[Discount Amount 2]]</f>
        <v>2086.5</v>
      </c>
      <c r="L162" s="152">
        <f>2249*2</f>
        <v>4498</v>
      </c>
      <c r="M162" s="146"/>
      <c r="N162" s="176">
        <f>((HearingAids[[#This Row],[haNetPriceBinural]]-HearingAids[[#This Row],[chargerPrice]])/2)-HearingAids[[#This Row],[haNetPriceBinural2]]</f>
        <v>2086.5</v>
      </c>
      <c r="O162" s="176">
        <f>HearingAids[[#This Row],[haNetPrice]]-HearingAids[[#This Row],[Discount Amount 3]]</f>
        <v>0</v>
      </c>
      <c r="P162" s="144"/>
      <c r="Q162" s="15">
        <v>1</v>
      </c>
      <c r="R162" s="2" t="s">
        <v>13</v>
      </c>
      <c r="S162" s="39">
        <v>325</v>
      </c>
      <c r="T162" s="11" t="s">
        <v>14</v>
      </c>
      <c r="U162" s="2">
        <v>0</v>
      </c>
      <c r="V162" s="161" t="s">
        <v>11</v>
      </c>
      <c r="X162" s="2"/>
      <c r="Y162" s="2"/>
      <c r="Z162" s="2"/>
      <c r="AA162" s="2"/>
      <c r="AB162" s="2"/>
      <c r="AC162" s="2"/>
      <c r="AD162" s="8"/>
    </row>
    <row r="163" spans="1:30" ht="12.75">
      <c r="A163" s="173" t="s">
        <v>632</v>
      </c>
      <c r="B163" s="174" t="s">
        <v>636</v>
      </c>
      <c r="C163" s="55">
        <f>(HearingAids[[#This Row],[haMSRP]]*2)+HearingAids[[#This Row],[chargerPrice]]</f>
        <v>11483</v>
      </c>
      <c r="D163" s="143">
        <v>5579</v>
      </c>
      <c r="E163" s="51" t="s">
        <v>538</v>
      </c>
      <c r="F163" s="144">
        <f>HearingAids[[#This Row],[haMSRP]]-((HearingAids[[#This Row],[ListPriceBinural]]-HearingAids[[#This Row],[chargerPrice]])/2)</f>
        <v>-162.5</v>
      </c>
      <c r="G163" s="38">
        <f>HearingAids[[#This Row],[haMSRP]]-HearingAids[[#This Row],[Discount Amount 1]]</f>
        <v>5741.5</v>
      </c>
      <c r="H163" s="101">
        <v>11808</v>
      </c>
      <c r="I163" s="145" t="s">
        <v>637</v>
      </c>
      <c r="J163" s="144">
        <f>(HearingAids[[#This Row],[haMSRP]]-HearingAids[[#This Row],[Discount Amount 1]])-(HearingAids[[#This Row],[haNetPriceBinural]]-HearingAids[[#This Row],[chargerPrice]])/2</f>
        <v>3405</v>
      </c>
      <c r="K163" s="175">
        <f>HearingAids[[#This Row],[HAListPrice]]-HearingAids[[#This Row],[Discount Amount 2]]</f>
        <v>2336.5</v>
      </c>
      <c r="L163" s="152">
        <f>2499*2</f>
        <v>4998</v>
      </c>
      <c r="M163" s="146"/>
      <c r="N163" s="176">
        <f>((HearingAids[[#This Row],[haNetPriceBinural]]-HearingAids[[#This Row],[chargerPrice]])/2)-HearingAids[[#This Row],[haNetPriceBinural2]]</f>
        <v>2336.5</v>
      </c>
      <c r="O163" s="176">
        <f>HearingAids[[#This Row],[haNetPrice]]-HearingAids[[#This Row],[Discount Amount 3]]</f>
        <v>0</v>
      </c>
      <c r="P163" s="144"/>
      <c r="Q163" s="15">
        <v>1</v>
      </c>
      <c r="R163" s="2" t="s">
        <v>13</v>
      </c>
      <c r="S163" s="39">
        <v>325</v>
      </c>
      <c r="T163" s="11" t="s">
        <v>14</v>
      </c>
      <c r="U163" s="2">
        <v>0</v>
      </c>
      <c r="V163" s="161" t="s">
        <v>11</v>
      </c>
      <c r="X163" s="2"/>
      <c r="Y163" s="2"/>
      <c r="Z163" s="2"/>
      <c r="AA163" s="2"/>
      <c r="AB163" s="2"/>
      <c r="AC163" s="2"/>
      <c r="AD163" s="12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H167" s="21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H168" s="21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1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1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8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2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12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2"/>
      <c r="Y189" s="22"/>
      <c r="Z189" s="22"/>
      <c r="AA189" s="22"/>
      <c r="AB189" s="22"/>
      <c r="AD189" s="25"/>
    </row>
    <row r="190" spans="1:30" ht="12.75">
      <c r="A190" s="3"/>
      <c r="B190" s="3"/>
      <c r="C190" s="3"/>
      <c r="I190" s="8"/>
      <c r="J190" s="8"/>
      <c r="K190" s="8"/>
      <c r="M190" s="31"/>
      <c r="N190" s="2"/>
      <c r="O190" s="2"/>
      <c r="Q190" s="4"/>
      <c r="U190" s="2"/>
      <c r="X190" s="8"/>
      <c r="Y190" s="31"/>
      <c r="Z190" s="31"/>
      <c r="AA190" s="31"/>
      <c r="AB190" s="31"/>
      <c r="AC190" s="31"/>
      <c r="AD190" s="31"/>
    </row>
    <row r="191" spans="1:30" ht="12.75">
      <c r="A191" s="3"/>
      <c r="B191" s="3"/>
      <c r="C191" s="3"/>
      <c r="I191" s="8"/>
      <c r="J191" s="8"/>
      <c r="K191" s="8"/>
      <c r="M191" s="31"/>
      <c r="N191" s="2"/>
      <c r="O191" s="2"/>
      <c r="Q191" s="4"/>
      <c r="U191" s="2"/>
      <c r="X191" s="8"/>
      <c r="Y191" s="31"/>
      <c r="Z191" s="31"/>
      <c r="AA191" s="31"/>
      <c r="AB191" s="31"/>
      <c r="AC191" s="31"/>
      <c r="AD191" s="31"/>
    </row>
    <row r="192" spans="1:30" ht="12.75">
      <c r="A192" s="3"/>
      <c r="B192" s="3"/>
      <c r="C192" s="3"/>
      <c r="I192" s="22"/>
      <c r="J192" s="22"/>
      <c r="K192" s="22"/>
      <c r="M192" s="31"/>
      <c r="N192" s="22"/>
      <c r="O192" s="22"/>
      <c r="Q192" s="4"/>
      <c r="U192" s="22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M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M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</row>
    <row r="233" spans="1:30" ht="12.75">
      <c r="A233" s="29"/>
      <c r="B233" s="29"/>
      <c r="C233" s="29"/>
      <c r="I233" s="31"/>
      <c r="J233" s="31"/>
      <c r="K233" s="31"/>
      <c r="N233" s="31"/>
      <c r="O233" s="31"/>
      <c r="Q233" s="30"/>
      <c r="U233" s="31"/>
    </row>
    <row r="234" spans="1:30" ht="12.75">
      <c r="A234" s="29"/>
      <c r="B234" s="29"/>
      <c r="C234" s="29"/>
      <c r="I234" s="31"/>
      <c r="J234" s="31"/>
      <c r="K234" s="31"/>
      <c r="N234" s="31"/>
      <c r="O234" s="31"/>
      <c r="Q234" s="30"/>
      <c r="U234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2" activePane="bottomLeft" state="frozen"/>
      <selection pane="bottomLeft" activeCell="C99" sqref="C99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 hidden="1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 hidden="1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 hidden="1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 hidden="1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 hidden="1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 hidden="1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 hidden="1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 hidden="1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 hidden="1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 hidden="1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 hidden="1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 hidden="1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 hidden="1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 hidden="1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 hidden="1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 hidden="1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 hidden="1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52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52">_xlfn.UNIQUE(_xlfn._xlws.SORT((HearingAids[haModel])))</f>
        <v>Beltone BTE Digital Boost Max S 17 95-DWHC</v>
      </c>
      <c r="B3" t="str" cm="1">
        <f t="array" ref="B3:B23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Max S 4 95-DWHC</v>
      </c>
      <c r="B4" t="str">
        <v>Amplifon Competitive</v>
      </c>
      <c r="C4" t="s">
        <v>7</v>
      </c>
    </row>
    <row r="5" spans="1:5">
      <c r="A5" t="str">
        <v>Beltone BTE Digital Boost Max S 6 95-DWHC</v>
      </c>
      <c r="B5" t="str">
        <v>BCBS Blue365 Member</v>
      </c>
      <c r="C5" t="s">
        <v>64</v>
      </c>
    </row>
    <row r="6" spans="1:5">
      <c r="A6" t="str">
        <v>Beltone BTE Digital Boost Max S 9 95-DWHC</v>
      </c>
      <c r="B6" t="str">
        <v>Early Lease Upgrade</v>
      </c>
      <c r="C6" t="s">
        <v>596</v>
      </c>
    </row>
    <row r="7" spans="1:5">
      <c r="A7" t="str">
        <v>Beltone BTE Digital Boost Ultra 17 86DWHT</v>
      </c>
      <c r="B7" t="str">
        <v>Envision 17 Special</v>
      </c>
      <c r="C7" t="s">
        <v>65</v>
      </c>
    </row>
    <row r="8" spans="1:5">
      <c r="A8" t="str">
        <v>Beltone BTE Digital Boost Ultra 17 95DWT</v>
      </c>
      <c r="B8" t="str">
        <v>Envision 6 Special</v>
      </c>
    </row>
    <row r="9" spans="1:5">
      <c r="A9" t="str">
        <v>Beltone BTE Digital Boost Ultra 6 86DWHT</v>
      </c>
      <c r="B9" t="str">
        <v>Envision 9 Special</v>
      </c>
    </row>
    <row r="10" spans="1:5">
      <c r="A10" t="str">
        <v>Beltone BTE Digital Boost Ultra 6 95DWT</v>
      </c>
      <c r="B10" t="str">
        <v>Fast Funding</v>
      </c>
    </row>
    <row r="11" spans="1:5">
      <c r="A11" t="str">
        <v>Beltone BTE Digital Boost Ultra 9 86DWHT</v>
      </c>
      <c r="B11" t="str">
        <v>GHB Competitive</v>
      </c>
    </row>
    <row r="12" spans="1:5">
      <c r="A12" t="str">
        <v>Beltone BTE Digital Boost Ultra 9 95DWT</v>
      </c>
      <c r="B12" t="str">
        <v>HCS Competitive</v>
      </c>
    </row>
    <row r="13" spans="1:5">
      <c r="A13" t="str">
        <v>Beltone BTE Digital Rely 2 66DW</v>
      </c>
      <c r="B13" t="str">
        <v>HearUSA Competitive</v>
      </c>
    </row>
    <row r="14" spans="1:5">
      <c r="A14" t="str">
        <v>Beltone BTE Digital Rely 2 76DW</v>
      </c>
      <c r="B14" t="str">
        <v>Humana</v>
      </c>
    </row>
    <row r="15" spans="1:5">
      <c r="A15" t="str">
        <v>Beltone BTE Digital Rely 2 86DWH</v>
      </c>
      <c r="B15" t="str">
        <v>Marketing Offer</v>
      </c>
    </row>
    <row r="16" spans="1:5">
      <c r="A16" t="str">
        <v>Beltone BTE Digital Rely 2 95DW</v>
      </c>
      <c r="B16" t="str">
        <v>Martins Point Competitive</v>
      </c>
    </row>
    <row r="17" spans="1:2">
      <c r="A17" t="str">
        <v>Beltone BTE Digital Rely 3 66DW</v>
      </c>
      <c r="B17" t="str">
        <v>Nations Hearing Competitive</v>
      </c>
    </row>
    <row r="18" spans="1:2">
      <c r="A18" t="str">
        <v>Beltone BTE Digital Rely 3 76DW</v>
      </c>
      <c r="B18" t="str">
        <v>Open House Special</v>
      </c>
    </row>
    <row r="19" spans="1:2">
      <c r="A19" t="str">
        <v>Beltone BTE Digital Rely 3 86DWH</v>
      </c>
      <c r="B19" t="str">
        <v>Tri-Care</v>
      </c>
    </row>
    <row r="20" spans="1:2">
      <c r="A20" t="str">
        <v>Beltone BTE Digital Rely 3 95DW</v>
      </c>
      <c r="B20" t="str">
        <v>TruHearing Competitive</v>
      </c>
    </row>
    <row r="21" spans="1:2">
      <c r="A21" t="str">
        <v>Beltone BTE Digital Rely 4 66DW</v>
      </c>
      <c r="B21" t="str">
        <v>UHCH Competitive</v>
      </c>
    </row>
    <row r="22" spans="1:2">
      <c r="A22" t="str">
        <v>Beltone BTE Digital Rely 4 76DW</v>
      </c>
      <c r="B22" t="str">
        <v>Veterans Discount</v>
      </c>
    </row>
    <row r="23" spans="1:2">
      <c r="A23" t="str">
        <v>Beltone BTE Digital Rely 4 86DWH</v>
      </c>
      <c r="B23" t="str">
        <v>WellCare Competitive</v>
      </c>
    </row>
    <row r="24" spans="1:2">
      <c r="A24" t="str">
        <v>Beltone BTE Digital Rely 4 95DW</v>
      </c>
    </row>
    <row r="25" spans="1:2">
      <c r="A25" t="str">
        <v>Beltone CIC Digital Rely 3</v>
      </c>
    </row>
    <row r="26" spans="1:2">
      <c r="A26" t="str">
        <v>Beltone CIC Digital Rely 4</v>
      </c>
    </row>
    <row r="27" spans="1:2">
      <c r="A27" t="str">
        <v>Beltone ITC Digital Rely 2</v>
      </c>
    </row>
    <row r="28" spans="1:2">
      <c r="A28" t="str">
        <v>Beltone ITC Digital Rely 3</v>
      </c>
    </row>
    <row r="29" spans="1:2">
      <c r="A29" t="str">
        <v>Beltone ITC Digital Rely 4</v>
      </c>
    </row>
    <row r="30" spans="1:2">
      <c r="A30" t="str">
        <v>Beltone ITE Digital Rely 2</v>
      </c>
    </row>
    <row r="31" spans="1:2">
      <c r="A31" t="str">
        <v>Beltone ITE Digital Rely 3</v>
      </c>
    </row>
    <row r="32" spans="1:2">
      <c r="A32" t="str">
        <v>Beltone ITE Digital Rely 4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  <row r="49" spans="1:1">
      <c r="A49" t="str">
        <v>Beltone RIE Digital XC 4 61DRWC</v>
      </c>
    </row>
    <row r="50" spans="1:1">
      <c r="A50" t="str">
        <v>Beltone RIE Digital XF 5 60SDRWC</v>
      </c>
    </row>
    <row r="51" spans="1:1">
      <c r="A51" t="str">
        <v>Beltone RIE Digital XF 7 60SDRWC</v>
      </c>
    </row>
    <row r="52" spans="1:1">
      <c r="A52" t="str">
        <v>Beltone RIE Digital XF 9 60SDRWC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2026-04-17T13:15:29Z</dcterms:modified>
  <cp:category/>
  <cp:contentStatus/>
</cp:coreProperties>
</file>