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844" documentId="8_{964C585B-190F-46EC-9553-F8D486DF59FA}" xr6:coauthVersionLast="47" xr6:coauthVersionMax="47" xr10:uidLastSave="{257962FB-BDC0-417E-93F0-ED3C87DA69ED}"/>
  <bookViews>
    <workbookView xWindow="30750" yWindow="3480" windowWidth="21600" windowHeight="1050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43" i="1" l="1"/>
  <c r="J42" i="1"/>
  <c r="L43" i="1"/>
  <c r="L42" i="1"/>
  <c r="F162" i="1"/>
  <c r="G162" i="1" s="1"/>
  <c r="C162" i="1"/>
  <c r="F161" i="1"/>
  <c r="G161" i="1" s="1"/>
  <c r="K161" i="1" s="1"/>
  <c r="C161" i="1"/>
  <c r="N157" i="1"/>
  <c r="N158" i="1"/>
  <c r="N159" i="1"/>
  <c r="N160" i="1"/>
  <c r="F160" i="1"/>
  <c r="J160" i="1" s="1"/>
  <c r="C160" i="1"/>
  <c r="F159" i="1"/>
  <c r="J159" i="1" s="1"/>
  <c r="C159" i="1"/>
  <c r="F158" i="1"/>
  <c r="G158" i="1" s="1"/>
  <c r="C158" i="1"/>
  <c r="F157" i="1"/>
  <c r="J157" i="1" s="1"/>
  <c r="C157" i="1"/>
  <c r="F7" i="1"/>
  <c r="J7" i="1" s="1"/>
  <c r="C7" i="1"/>
  <c r="F6" i="1"/>
  <c r="J6" i="1" s="1"/>
  <c r="C6" i="1"/>
  <c r="F5" i="1"/>
  <c r="J5" i="1" s="1"/>
  <c r="C5" i="1"/>
  <c r="K162" i="1" l="1"/>
  <c r="G159" i="1"/>
  <c r="K159" i="1" s="1"/>
  <c r="O159" i="1" s="1"/>
  <c r="G157" i="1"/>
  <c r="K157" i="1" s="1"/>
  <c r="O157" i="1" s="1"/>
  <c r="J158" i="1"/>
  <c r="K158" i="1" s="1"/>
  <c r="O158" i="1" s="1"/>
  <c r="G6" i="1"/>
  <c r="K6" i="1" s="1"/>
  <c r="G160" i="1"/>
  <c r="K160" i="1" s="1"/>
  <c r="O160" i="1" s="1"/>
  <c r="G7" i="1"/>
  <c r="K7" i="1" s="1"/>
  <c r="G5" i="1"/>
  <c r="K5" i="1" s="1"/>
  <c r="C28" i="2" a="1"/>
  <c r="C28" i="2" s="1"/>
  <c r="C145" i="1"/>
  <c r="F156" i="1"/>
  <c r="J156" i="1" s="1"/>
  <c r="F141" i="1"/>
  <c r="J141" i="1" s="1"/>
  <c r="F142" i="1"/>
  <c r="G142" i="1" s="1"/>
  <c r="K142" i="1" s="1"/>
  <c r="N142" i="1" s="1"/>
  <c r="O142" i="1" s="1"/>
  <c r="F143" i="1"/>
  <c r="G143" i="1" s="1"/>
  <c r="K143" i="1" s="1"/>
  <c r="N143" i="1" s="1"/>
  <c r="O143" i="1" s="1"/>
  <c r="F144" i="1"/>
  <c r="G144" i="1" s="1"/>
  <c r="K144" i="1" s="1"/>
  <c r="N144" i="1" s="1"/>
  <c r="O144" i="1" s="1"/>
  <c r="F145" i="1"/>
  <c r="G145" i="1" s="1"/>
  <c r="F146" i="1"/>
  <c r="G146" i="1" s="1"/>
  <c r="F147" i="1"/>
  <c r="G147" i="1" s="1"/>
  <c r="K147" i="1" s="1"/>
  <c r="F148" i="1"/>
  <c r="G148" i="1" s="1"/>
  <c r="K148" i="1" s="1"/>
  <c r="F149" i="1"/>
  <c r="G149" i="1" s="1"/>
  <c r="K149" i="1" s="1"/>
  <c r="F150" i="1"/>
  <c r="G150" i="1" s="1"/>
  <c r="K150" i="1" s="1"/>
  <c r="N150" i="1" s="1"/>
  <c r="F151" i="1"/>
  <c r="J151" i="1" s="1"/>
  <c r="F152" i="1"/>
  <c r="G152" i="1" s="1"/>
  <c r="F153" i="1"/>
  <c r="J153" i="1" s="1"/>
  <c r="F154" i="1"/>
  <c r="F155" i="1"/>
  <c r="J155" i="1" s="1"/>
  <c r="C141" i="1"/>
  <c r="C142" i="1"/>
  <c r="C143" i="1"/>
  <c r="C144" i="1"/>
  <c r="C146" i="1"/>
  <c r="C147" i="1"/>
  <c r="C148" i="1"/>
  <c r="C149" i="1"/>
  <c r="C150" i="1"/>
  <c r="C151" i="1"/>
  <c r="C152" i="1"/>
  <c r="C153" i="1"/>
  <c r="C154" i="1"/>
  <c r="C155" i="1"/>
  <c r="C156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3" i="1"/>
  <c r="C43" i="1"/>
  <c r="F42" i="1"/>
  <c r="C42" i="1"/>
  <c r="C35" i="1"/>
  <c r="C36" i="1"/>
  <c r="C37" i="1"/>
  <c r="C38" i="1"/>
  <c r="C39" i="1"/>
  <c r="C40" i="1"/>
  <c r="C41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14" i="1"/>
  <c r="C115" i="1"/>
  <c r="C116" i="1"/>
  <c r="C117" i="1"/>
  <c r="C118" i="1"/>
  <c r="C119" i="1"/>
  <c r="C120" i="1"/>
  <c r="C121" i="1"/>
  <c r="C122" i="1"/>
  <c r="C123" i="1"/>
  <c r="C124" i="1"/>
  <c r="C102" i="1"/>
  <c r="C103" i="1"/>
  <c r="C104" i="1"/>
  <c r="C105" i="1"/>
  <c r="C106" i="1"/>
  <c r="C107" i="1"/>
  <c r="C2" i="1"/>
  <c r="C3" i="1"/>
  <c r="C108" i="1"/>
  <c r="C4" i="1"/>
  <c r="C109" i="1"/>
  <c r="C110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11" i="1"/>
  <c r="C112" i="1"/>
  <c r="C113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F140" i="1"/>
  <c r="F136" i="1"/>
  <c r="J136" i="1" s="1"/>
  <c r="F132" i="1"/>
  <c r="G132" i="1" s="1"/>
  <c r="F128" i="1"/>
  <c r="J128" i="1" s="1"/>
  <c r="F113" i="1"/>
  <c r="F121" i="1"/>
  <c r="F117" i="1"/>
  <c r="F101" i="1"/>
  <c r="F97" i="1"/>
  <c r="J97" i="1" s="1"/>
  <c r="F93" i="1"/>
  <c r="J93" i="1" s="1"/>
  <c r="F89" i="1"/>
  <c r="F85" i="1"/>
  <c r="J85" i="1" s="1"/>
  <c r="F38" i="1"/>
  <c r="F139" i="1"/>
  <c r="F135" i="1"/>
  <c r="F131" i="1"/>
  <c r="F127" i="1"/>
  <c r="F112" i="1"/>
  <c r="J112" i="1" s="1"/>
  <c r="F120" i="1"/>
  <c r="G120" i="1" s="1"/>
  <c r="F116" i="1"/>
  <c r="F100" i="1"/>
  <c r="F96" i="1"/>
  <c r="F92" i="1"/>
  <c r="G92" i="1" s="1"/>
  <c r="F88" i="1"/>
  <c r="F84" i="1"/>
  <c r="F37" i="1"/>
  <c r="F138" i="1"/>
  <c r="F134" i="1"/>
  <c r="G134" i="1" s="1"/>
  <c r="F130" i="1"/>
  <c r="F126" i="1"/>
  <c r="J126" i="1" s="1"/>
  <c r="F111" i="1"/>
  <c r="F119" i="1"/>
  <c r="F115" i="1"/>
  <c r="F99" i="1"/>
  <c r="F95" i="1"/>
  <c r="F91" i="1"/>
  <c r="F87" i="1"/>
  <c r="F83" i="1"/>
  <c r="F36" i="1"/>
  <c r="F34" i="1"/>
  <c r="F82" i="1"/>
  <c r="F33" i="1"/>
  <c r="F81" i="1"/>
  <c r="F32" i="1"/>
  <c r="F80" i="1"/>
  <c r="F31" i="1"/>
  <c r="F79" i="1"/>
  <c r="F30" i="1"/>
  <c r="F78" i="1"/>
  <c r="F29" i="1"/>
  <c r="G29" i="1" s="1"/>
  <c r="K29" i="1" s="1"/>
  <c r="F77" i="1"/>
  <c r="F28" i="1"/>
  <c r="F76" i="1"/>
  <c r="G76" i="1" s="1"/>
  <c r="F75" i="1"/>
  <c r="F27" i="1"/>
  <c r="F74" i="1"/>
  <c r="G74" i="1" s="1"/>
  <c r="F26" i="1"/>
  <c r="F25" i="1"/>
  <c r="F73" i="1"/>
  <c r="F24" i="1"/>
  <c r="F72" i="1"/>
  <c r="F23" i="1"/>
  <c r="G23" i="1" s="1"/>
  <c r="K23" i="1" s="1"/>
  <c r="F71" i="1"/>
  <c r="F22" i="1"/>
  <c r="F70" i="1"/>
  <c r="F21" i="1"/>
  <c r="F69" i="1"/>
  <c r="F20" i="1"/>
  <c r="F68" i="1"/>
  <c r="F19" i="1"/>
  <c r="F67" i="1"/>
  <c r="F66" i="1"/>
  <c r="F18" i="1"/>
  <c r="F65" i="1"/>
  <c r="F17" i="1"/>
  <c r="F64" i="1"/>
  <c r="F16" i="1"/>
  <c r="F63" i="1"/>
  <c r="F15" i="1"/>
  <c r="G15" i="1" s="1"/>
  <c r="K15" i="1" s="1"/>
  <c r="F62" i="1"/>
  <c r="F14" i="1"/>
  <c r="F13" i="1"/>
  <c r="G13" i="1" s="1"/>
  <c r="K13" i="1" s="1"/>
  <c r="F61" i="1"/>
  <c r="F12" i="1"/>
  <c r="F60" i="1"/>
  <c r="G60" i="1" s="1"/>
  <c r="F11" i="1"/>
  <c r="F59" i="1"/>
  <c r="F10" i="1"/>
  <c r="F58" i="1"/>
  <c r="F57" i="1"/>
  <c r="F9" i="1"/>
  <c r="F56" i="1"/>
  <c r="F8" i="1"/>
  <c r="F124" i="1"/>
  <c r="J124" i="1" s="1"/>
  <c r="F41" i="1"/>
  <c r="F55" i="1"/>
  <c r="F110" i="1"/>
  <c r="F54" i="1"/>
  <c r="F123" i="1"/>
  <c r="J123" i="1" s="1"/>
  <c r="F40" i="1"/>
  <c r="F109" i="1"/>
  <c r="F53" i="1"/>
  <c r="F4" i="1"/>
  <c r="F122" i="1"/>
  <c r="J122" i="1" s="1"/>
  <c r="F52" i="1"/>
  <c r="F39" i="1"/>
  <c r="F108" i="1"/>
  <c r="F118" i="1"/>
  <c r="F137" i="1"/>
  <c r="F133" i="1"/>
  <c r="F129" i="1"/>
  <c r="F125" i="1"/>
  <c r="F86" i="1"/>
  <c r="F51" i="1"/>
  <c r="F35" i="1"/>
  <c r="F114" i="1"/>
  <c r="F98" i="1"/>
  <c r="G98" i="1" s="1"/>
  <c r="F94" i="1"/>
  <c r="F90" i="1"/>
  <c r="F3" i="1"/>
  <c r="F50" i="1"/>
  <c r="F2" i="1"/>
  <c r="F107" i="1"/>
  <c r="F49" i="1"/>
  <c r="F106" i="1"/>
  <c r="F48" i="1"/>
  <c r="F105" i="1"/>
  <c r="F47" i="1"/>
  <c r="F104" i="1"/>
  <c r="F46" i="1"/>
  <c r="F103" i="1"/>
  <c r="F45" i="1"/>
  <c r="F102" i="1"/>
  <c r="F44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3" i="1" l="1"/>
  <c r="K153" i="1" s="1"/>
  <c r="N153" i="1" s="1"/>
  <c r="G155" i="1"/>
  <c r="K155" i="1" s="1"/>
  <c r="D14" i="2" a="1"/>
  <c r="D14" i="2" s="1"/>
  <c r="D15" i="2" s="1"/>
  <c r="G151" i="1"/>
  <c r="K151" i="1" s="1"/>
  <c r="N151" i="1" s="1"/>
  <c r="O151" i="1" s="1"/>
  <c r="B14" i="2" a="1"/>
  <c r="B14" i="2" s="1"/>
  <c r="B15" i="2" s="1"/>
  <c r="G154" i="1"/>
  <c r="J154" i="1"/>
  <c r="G141" i="1"/>
  <c r="K141" i="1" s="1"/>
  <c r="N141" i="1" s="1"/>
  <c r="O141" i="1" s="1"/>
  <c r="G156" i="1"/>
  <c r="K156" i="1" s="1"/>
  <c r="J152" i="1"/>
  <c r="K152" i="1" s="1"/>
  <c r="J146" i="1"/>
  <c r="K146" i="1" s="1"/>
  <c r="N146" i="1" s="1"/>
  <c r="N149" i="1"/>
  <c r="O149" i="1"/>
  <c r="N148" i="1"/>
  <c r="O148" i="1" s="1"/>
  <c r="N147" i="1"/>
  <c r="O147" i="1" s="1"/>
  <c r="J145" i="1"/>
  <c r="K145" i="1" s="1"/>
  <c r="N145" i="1" s="1"/>
  <c r="O150" i="1"/>
  <c r="C24" i="2" a="1"/>
  <c r="C24" i="2" s="1"/>
  <c r="G42" i="1"/>
  <c r="K42" i="1" s="1"/>
  <c r="G43" i="1"/>
  <c r="K43" i="1" s="1"/>
  <c r="G113" i="1"/>
  <c r="G21" i="1"/>
  <c r="K21" i="1" s="1"/>
  <c r="G68" i="1"/>
  <c r="G103" i="1"/>
  <c r="G118" i="1"/>
  <c r="G126" i="1"/>
  <c r="K126" i="1" s="1"/>
  <c r="G100" i="1"/>
  <c r="G31" i="1"/>
  <c r="K31" i="1" s="1"/>
  <c r="G66" i="1"/>
  <c r="G44" i="1"/>
  <c r="G136" i="1"/>
  <c r="K136" i="1" s="1"/>
  <c r="G40" i="1"/>
  <c r="G128" i="1"/>
  <c r="K128" i="1" s="1"/>
  <c r="G110" i="1"/>
  <c r="G105" i="1"/>
  <c r="G84" i="1"/>
  <c r="G52" i="1"/>
  <c r="G133" i="1"/>
  <c r="G125" i="1"/>
  <c r="G30" i="1"/>
  <c r="K30" i="1" s="1"/>
  <c r="G22" i="1"/>
  <c r="K22" i="1" s="1"/>
  <c r="G14" i="1"/>
  <c r="K14" i="1" s="1"/>
  <c r="G109" i="1"/>
  <c r="G104" i="1"/>
  <c r="G119" i="1"/>
  <c r="G99" i="1"/>
  <c r="G91" i="1"/>
  <c r="G83" i="1"/>
  <c r="G75" i="1"/>
  <c r="G67" i="1"/>
  <c r="G59" i="1"/>
  <c r="G51" i="1"/>
  <c r="G41" i="1"/>
  <c r="G140" i="1"/>
  <c r="G90" i="1"/>
  <c r="G82" i="1"/>
  <c r="G58" i="1"/>
  <c r="G50" i="1"/>
  <c r="G139" i="1"/>
  <c r="G131" i="1"/>
  <c r="G112" i="1"/>
  <c r="K112" i="1" s="1"/>
  <c r="G28" i="1"/>
  <c r="K28" i="1" s="1"/>
  <c r="G20" i="1"/>
  <c r="K20" i="1" s="1"/>
  <c r="G12" i="1"/>
  <c r="K12" i="1" s="1"/>
  <c r="G108" i="1"/>
  <c r="G102" i="1"/>
  <c r="G117" i="1"/>
  <c r="G97" i="1"/>
  <c r="K97" i="1" s="1"/>
  <c r="G89" i="1"/>
  <c r="G81" i="1"/>
  <c r="G73" i="1"/>
  <c r="G65" i="1"/>
  <c r="G57" i="1"/>
  <c r="G49" i="1"/>
  <c r="G39" i="1"/>
  <c r="G138" i="1"/>
  <c r="G130" i="1"/>
  <c r="G111" i="1"/>
  <c r="G27" i="1"/>
  <c r="K27" i="1" s="1"/>
  <c r="G19" i="1"/>
  <c r="K19" i="1" s="1"/>
  <c r="G11" i="1"/>
  <c r="K11" i="1" s="1"/>
  <c r="G3" i="1"/>
  <c r="K3" i="1" s="1"/>
  <c r="G124" i="1"/>
  <c r="G116" i="1"/>
  <c r="G96" i="1"/>
  <c r="G88" i="1"/>
  <c r="G80" i="1"/>
  <c r="G72" i="1"/>
  <c r="G64" i="1"/>
  <c r="G56" i="1"/>
  <c r="G48" i="1"/>
  <c r="G38" i="1"/>
  <c r="G137" i="1"/>
  <c r="G129" i="1"/>
  <c r="G34" i="1"/>
  <c r="K34" i="1" s="1"/>
  <c r="G26" i="1"/>
  <c r="K26" i="1" s="1"/>
  <c r="G18" i="1"/>
  <c r="K18" i="1" s="1"/>
  <c r="G10" i="1"/>
  <c r="K10" i="1" s="1"/>
  <c r="G2" i="1"/>
  <c r="K2" i="1" s="1"/>
  <c r="G123" i="1"/>
  <c r="G115" i="1"/>
  <c r="G95" i="1"/>
  <c r="G87" i="1"/>
  <c r="G79" i="1"/>
  <c r="G71" i="1"/>
  <c r="G63" i="1"/>
  <c r="G55" i="1"/>
  <c r="G47" i="1"/>
  <c r="G37" i="1"/>
  <c r="G33" i="1"/>
  <c r="K33" i="1" s="1"/>
  <c r="G25" i="1"/>
  <c r="K25" i="1" s="1"/>
  <c r="G17" i="1"/>
  <c r="K17" i="1" s="1"/>
  <c r="G9" i="1"/>
  <c r="K9" i="1" s="1"/>
  <c r="G107" i="1"/>
  <c r="G122" i="1"/>
  <c r="G114" i="1"/>
  <c r="G94" i="1"/>
  <c r="G86" i="1"/>
  <c r="G78" i="1"/>
  <c r="G70" i="1"/>
  <c r="G62" i="1"/>
  <c r="G54" i="1"/>
  <c r="G46" i="1"/>
  <c r="G36" i="1"/>
  <c r="G4" i="1"/>
  <c r="K4" i="1" s="1"/>
  <c r="G135" i="1"/>
  <c r="G127" i="1"/>
  <c r="G32" i="1"/>
  <c r="K32" i="1" s="1"/>
  <c r="G24" i="1"/>
  <c r="K24" i="1" s="1"/>
  <c r="G16" i="1"/>
  <c r="K16" i="1" s="1"/>
  <c r="G8" i="1"/>
  <c r="K8" i="1" s="1"/>
  <c r="G106" i="1"/>
  <c r="G121" i="1"/>
  <c r="G101" i="1"/>
  <c r="G93" i="1"/>
  <c r="K93" i="1" s="1"/>
  <c r="G85" i="1"/>
  <c r="K85" i="1" s="1"/>
  <c r="G77" i="1"/>
  <c r="G69" i="1"/>
  <c r="G61" i="1"/>
  <c r="G53" i="1"/>
  <c r="G45" i="1"/>
  <c r="G35" i="1"/>
  <c r="J139" i="1"/>
  <c r="J76" i="1"/>
  <c r="K76" i="1" s="1"/>
  <c r="J68" i="1"/>
  <c r="J60" i="1"/>
  <c r="K60" i="1" s="1"/>
  <c r="J117" i="1"/>
  <c r="J58" i="1"/>
  <c r="J100" i="1"/>
  <c r="J52" i="1"/>
  <c r="J115" i="1"/>
  <c r="J92" i="1"/>
  <c r="K92" i="1" s="1"/>
  <c r="J50" i="1"/>
  <c r="J131" i="1"/>
  <c r="J84" i="1"/>
  <c r="J44" i="1"/>
  <c r="J108" i="1"/>
  <c r="J82" i="1"/>
  <c r="J40" i="1"/>
  <c r="J102" i="1"/>
  <c r="J138" i="1"/>
  <c r="J130" i="1"/>
  <c r="J111" i="1"/>
  <c r="J116" i="1"/>
  <c r="J99" i="1"/>
  <c r="J91" i="1"/>
  <c r="J83" i="1"/>
  <c r="J75" i="1"/>
  <c r="J67" i="1"/>
  <c r="J59" i="1"/>
  <c r="J51" i="1"/>
  <c r="J41" i="1"/>
  <c r="J98" i="1"/>
  <c r="K98" i="1" s="1"/>
  <c r="J74" i="1"/>
  <c r="K74" i="1" s="1"/>
  <c r="J66" i="1"/>
  <c r="J107" i="1"/>
  <c r="J114" i="1"/>
  <c r="J89" i="1"/>
  <c r="J81" i="1"/>
  <c r="J73" i="1"/>
  <c r="J65" i="1"/>
  <c r="J57" i="1"/>
  <c r="J49" i="1"/>
  <c r="J39" i="1"/>
  <c r="J135" i="1"/>
  <c r="J127" i="1"/>
  <c r="J106" i="1"/>
  <c r="J121" i="1"/>
  <c r="J96" i="1"/>
  <c r="J88" i="1"/>
  <c r="J80" i="1"/>
  <c r="J72" i="1"/>
  <c r="J64" i="1"/>
  <c r="J56" i="1"/>
  <c r="J48" i="1"/>
  <c r="J38" i="1"/>
  <c r="J137" i="1"/>
  <c r="J129" i="1"/>
  <c r="J134" i="1"/>
  <c r="K134" i="1" s="1"/>
  <c r="J110" i="1"/>
  <c r="J105" i="1"/>
  <c r="J120" i="1"/>
  <c r="K120" i="1" s="1"/>
  <c r="J95" i="1"/>
  <c r="J87" i="1"/>
  <c r="J79" i="1"/>
  <c r="J71" i="1"/>
  <c r="J63" i="1"/>
  <c r="J55" i="1"/>
  <c r="J47" i="1"/>
  <c r="J37" i="1"/>
  <c r="J133" i="1"/>
  <c r="J125" i="1"/>
  <c r="J109" i="1"/>
  <c r="J104" i="1"/>
  <c r="J119" i="1"/>
  <c r="J94" i="1"/>
  <c r="J86" i="1"/>
  <c r="J78" i="1"/>
  <c r="J70" i="1"/>
  <c r="J62" i="1"/>
  <c r="J54" i="1"/>
  <c r="J46" i="1"/>
  <c r="J36" i="1"/>
  <c r="J90" i="1"/>
  <c r="J140" i="1"/>
  <c r="J132" i="1"/>
  <c r="K132" i="1" s="1"/>
  <c r="J113" i="1"/>
  <c r="J103" i="1"/>
  <c r="J118" i="1"/>
  <c r="J101" i="1"/>
  <c r="J77" i="1"/>
  <c r="J69" i="1"/>
  <c r="J61" i="1"/>
  <c r="J53" i="1"/>
  <c r="J45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53" i="1" l="1"/>
  <c r="K154" i="1"/>
  <c r="N152" i="1"/>
  <c r="O152" i="1" s="1"/>
  <c r="D16" i="2" a="1"/>
  <c r="D16" i="2" s="1"/>
  <c r="D17" i="2" s="1"/>
  <c r="B16" i="2" a="1"/>
  <c r="B16" i="2" s="1"/>
  <c r="B17" i="2" s="1"/>
  <c r="K121" i="1"/>
  <c r="K106" i="1"/>
  <c r="K123" i="1"/>
  <c r="K38" i="1"/>
  <c r="K47" i="1"/>
  <c r="K114" i="1"/>
  <c r="K116" i="1"/>
  <c r="K36" i="1"/>
  <c r="K138" i="1"/>
  <c r="K70" i="1"/>
  <c r="K79" i="1"/>
  <c r="K72" i="1"/>
  <c r="K65" i="1"/>
  <c r="K83" i="1"/>
  <c r="K40" i="1"/>
  <c r="K103" i="1"/>
  <c r="K84" i="1"/>
  <c r="K77" i="1"/>
  <c r="K62" i="1"/>
  <c r="K71" i="1"/>
  <c r="K64" i="1"/>
  <c r="K57" i="1"/>
  <c r="K108" i="1"/>
  <c r="K58" i="1"/>
  <c r="K75" i="1"/>
  <c r="K118" i="1"/>
  <c r="K82" i="1"/>
  <c r="K127" i="1"/>
  <c r="K78" i="1"/>
  <c r="K87" i="1"/>
  <c r="K80" i="1"/>
  <c r="K73" i="1"/>
  <c r="K90" i="1"/>
  <c r="K91" i="1"/>
  <c r="K125" i="1"/>
  <c r="K68" i="1"/>
  <c r="K35" i="1"/>
  <c r="K101" i="1"/>
  <c r="K135" i="1"/>
  <c r="K86" i="1"/>
  <c r="K95" i="1"/>
  <c r="K129" i="1"/>
  <c r="K88" i="1"/>
  <c r="K111" i="1"/>
  <c r="K81" i="1"/>
  <c r="K140" i="1"/>
  <c r="K99" i="1"/>
  <c r="K133" i="1"/>
  <c r="K44" i="1"/>
  <c r="K45" i="1"/>
  <c r="K94" i="1"/>
  <c r="K37" i="1"/>
  <c r="K115" i="1"/>
  <c r="K137" i="1"/>
  <c r="K96" i="1"/>
  <c r="K130" i="1"/>
  <c r="K89" i="1"/>
  <c r="K41" i="1"/>
  <c r="K119" i="1"/>
  <c r="K52" i="1"/>
  <c r="K66" i="1"/>
  <c r="K113" i="1"/>
  <c r="K131" i="1"/>
  <c r="K104" i="1"/>
  <c r="K61" i="1"/>
  <c r="K46" i="1"/>
  <c r="K122" i="1"/>
  <c r="K55" i="1"/>
  <c r="K48" i="1"/>
  <c r="K124" i="1"/>
  <c r="K39" i="1"/>
  <c r="K117" i="1"/>
  <c r="K139" i="1"/>
  <c r="K59" i="1"/>
  <c r="K109" i="1"/>
  <c r="K105" i="1"/>
  <c r="K100" i="1"/>
  <c r="K53" i="1"/>
  <c r="K51" i="1"/>
  <c r="K69" i="1"/>
  <c r="K54" i="1"/>
  <c r="K107" i="1"/>
  <c r="K63" i="1"/>
  <c r="K56" i="1"/>
  <c r="K49" i="1"/>
  <c r="K102" i="1"/>
  <c r="K50" i="1"/>
  <c r="K67" i="1"/>
  <c r="K110" i="1"/>
  <c r="B46" i="4"/>
  <c r="B45" i="4"/>
  <c r="B44" i="4"/>
  <c r="B42" i="4"/>
  <c r="B43" i="4"/>
  <c r="B26" i="4"/>
  <c r="B52" i="4"/>
  <c r="B51" i="4"/>
  <c r="B50" i="4"/>
  <c r="B49" i="4"/>
  <c r="B63" i="4"/>
  <c r="O123" i="1" l="1"/>
  <c r="B18" i="2" a="1"/>
  <c r="B18" i="2" s="1"/>
  <c r="D18" i="2" a="1"/>
  <c r="D18" i="2" s="1"/>
  <c r="O124" i="1"/>
  <c r="O122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<sst xmlns="http://schemas.openxmlformats.org/spreadsheetml/2006/main" count="2856" uniqueCount="629">
  <si>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</si>
  <si>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</si>
  <si>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</si>
  <si>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</si>
  <si>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</si>
  <si>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</si>
  <si>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</si>
  <si>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</si>
  <si>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</si>
  <si>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</si>
  <si>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</si>
  <si>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</si>
  <si>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</si>
  <si>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</si>
  <si>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</si>
  <si>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</si>
  <si>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</si>
  <si>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</si>
  <si>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</si>
  <si>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</si>
  <si>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</si>
  <si>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</si>
  <si>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</si>
  <si>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</si>
  <si>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</si>
  <si>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</si>
  <si>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</si>
  <si>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</si>
  <si>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</si>
  <si>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</si>
  <si>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</si>
  <si>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</si>
  <si>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</si>
  <si>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</si>
  <si>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</si>
  <si>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</si>
  <si>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</si>
  <si>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</si>
  <si>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</si>
  <si>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</si>
  <si>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</si>
  <si>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</si>
  <si>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</si>
  <si>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</si>
  <si>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</si>
  <si>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</si>
  <si>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</si>
  <si>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</si>
  <si>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</si>
  <si>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</si>
  <si>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</si>
  <si>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</si>
  <si>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</si>
  <si>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</si>
  <si>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</si>
  <si>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</si>
  <si>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</si>
  <si>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</si>
  <si>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</si>
  <si>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</si>
  <si>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</si>
  <si>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</si>
  <si>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</si>
  <si>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</si>
  <si>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</si>
  <si>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</si>
  <si>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</si>
  <si>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</si>
  <si>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</si>
  <si>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</si>
  <si>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</si>
  <si>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</si>
  <si>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</si>
  <si>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</si>
  <si>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</si>
  <si>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</si>
  <si>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</si>
  <si>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</si>
  <si>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</si>
  <si>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</si>
  <si>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</si>
  <si>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</si>
  <si>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</si>
  <si>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</si>
  <si>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</si>
  <si>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</si>
  <si>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</si>
  <si>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</si>
  <si>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</si>
  <si>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</si>
  <si>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</si>
  <si>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</si>
  <si>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</si>
  <si>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</si>
  <si>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</si>
  <si>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</si>
  <si>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</si>
  <si>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</si>
  <si>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</si>
  <si>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</si>
  <si>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</si>
  <si>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</si>
  <si>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</si>
  <si>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</si>
  <si>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</si>
  <si>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</si>
  <si>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</si>
  <si>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</si>
  <si>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</si>
  <si>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</si>
  <si>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</si>
  <si>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</si>
  <si>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</si>
  <si>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</si>
  <si>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</si>
  <si>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</si>
  <si>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</si>
  <si>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</si>
  <si>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</si>
  <si>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</si>
  <si>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</si>
  <si>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</si>
  <si>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</si>
  <si>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</si>
  <si>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</si>
  <si>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</si>
  <si>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</si>
  <si>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</si>
  <si>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</si>
  <si>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</si>
  <si>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</si>
  <si>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</si>
  <si>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</si>
  <si>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</si>
  <si>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</si>
  <si>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</si>
  <si>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</si>
  <si>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</si>
  <si>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</si>
  <si>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</si>
  <si>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</si>
  <si>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</si>
  <si>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</si>
  <si>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</si>
  <si>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</si>
  <si>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</si>
  <si>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</si>
  <si>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</si>
  <si>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</si>
  <si>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</si>
  <si>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</si>
  <si>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</si>
  <si>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</si>
  <si>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</si>
  <si>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</si>
  <si>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</si>
  <si>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</si>
  <si>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</si>
  <si>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</si>
  <si>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</si>
  <si>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</si>
  <si>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</si>
  <si>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</si>
  <si>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</si>
  <si>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</si>
  <si>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</si>
  <si>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</si>
  <si>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</si>
  <si>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</si>
  <si>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</si>
  <si>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</si>
  <si>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</si>
  <si>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</si>
  <si>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</si>
  <si>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</si>
  <si>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</si>
  <si>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</si>
  <si>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</si>
  <si>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</si>
  <si>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</si>
  <si>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</si>
  <si>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</si>
  <si>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</si>
  <si>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</si>
  <si>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</si>
  <si>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</si>
  <si>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</si>
  <si>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</si>
  <si>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</si>
  <si>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</si>
  <si>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</si>
  <si>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</si>
  <si>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</si>
  <si>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</si>
  <si>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</si>
  <si>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</si>
  <si>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</si>
  <si>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</si>
  <si>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</si>
  <si>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</si>
  <si>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</si>
  <si>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</si>
  <si>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</si>
  <si>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</si>
  <si>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</si>
  <si>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</si>
  <si>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</si>
  <si>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</si>
  <si>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</si>
  <si>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</si>
  <si>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</si>
  <si>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</si>
  <si>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</si>
  <si>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</si>
  <si>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</si>
  <si>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</si>
  <si>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</si>
  <si>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</si>
  <si>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</si>
  <si>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</si>
  <si>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</si>
  <si>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</si>
  <si>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</si>
  <si>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</si>
  <si>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</si>
  <si>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</si>
  <si>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</si>
  <si>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</si>
  <si>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</si>
  <si>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</si>
  <si>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</si>
  <si>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</si>
  <si>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</si>
  <si>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</si>
  <si>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</si>
  <si>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</si>
  <si>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</si>
  <si>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</si>
  <si>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</si>
  <si>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</si>
  <si>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</si>
  <si>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</si>
  <si>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</si>
  <si>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</si>
  <si>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</si>
  <si>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</si>
  <si>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</si>
  <si>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</si>
  <si>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</si>
  <si>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</si>
  <si>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</si>
  <si>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</si>
  <si>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</si>
  <si>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</si>
  <si>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</si>
  <si>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</si>
  <si>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</si>
  <si>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</si>
  <si>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</si>
  <si>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</si>
  <si>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</si>
  <si>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</si>
  <si>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</si>
  <si>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</si>
  <si>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</si>
  <si>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</si>
  <si>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</si>
  <si>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</si>
  <si>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</si>
  <si>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</si>
  <si>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</si>
  <si>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</si>
  <si>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</si>
  <si>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</si>
  <si>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</si>
  <si>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</si>
  <si>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</si>
  <si>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</si>
  <si>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</si>
  <si>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</si>
  <si>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</si>
  <si>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</si>
  <si>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</si>
  <si>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</si>
  <si>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</si>
  <si>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</si>
  <si>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</si>
  <si>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</si>
  <si>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</si>
  <si>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</si>
  <si>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</si>
  <si>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</si>
  <si>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</si>
  <si>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</si>
  <si>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</si>
  <si>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</si>
  <si>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</si>
  <si>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</si>
  <si>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</si>
  <si>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</si>
  <si>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</si>
  <si>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</si>
  <si>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</si>
  <si>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</si>
  <si>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</si>
  <si>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</si>
  <si>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</si>
  <si>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</si>
  <si>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</si>
  <si>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</si>
  <si>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</si>
  <si>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</si>
  <si>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</si>
  <si>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</si>
  <si>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</si>
  <si>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</si>
  <si>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</si>
  <si>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</si>
  <si>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</si>
  <si>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</si>
  <si>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</si>
  <si>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</si>
  <si>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</si>
  <si>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</si>
  <si>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</si>
  <si>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</si>
  <si>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</si>
  <si>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</si>
  <si>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</si>
  <si>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</si>
  <si>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</si>
  <si>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</si>
  <si>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</si>
  <si>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</si>
  <si>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</si>
  <si>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</si>
  <si>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</si>
  <si>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</si>
  <si>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</si>
  <si>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</si>
  <si>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</si>
  <si>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</si>
  <si>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</si>
  <si>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</si>
  <si>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</si>
  <si>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</si>
  <si>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</si>
  <si>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</si>
  <si>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</si>
  <si>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</si>
  <si>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</si>
  <si>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</si>
  <si>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</si>
  <si>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</si>
  <si>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</si>
  <si>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</si>
  <si>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</si>
  <si>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</si>
  <si>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</si>
  <si>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</si>
  <si>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</si>
  <si>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</si>
  <si>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</si>
  <si>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</si>
  <si>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</si>
  <si>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</si>
  <si>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</si>
  <si>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</si>
  <si>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</si>
  <si>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</si>
  <si>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</si>
  <si>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</si>
  <si>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</si>
  <si>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</si>
  <si>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</si>
  <si>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</si>
  <si>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</si>
  <si>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</si>
  <si>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</si>
  <si>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</si>
  <si>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</si>
  <si>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</si>
  <si>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</si>
  <si>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</si>
  <si>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</si>
  <si>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</si>
  <si>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</si>
  <si>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</si>
  <si>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</si>
  <si>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</si>
  <si>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</si>
  <si>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</si>
  <si>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</si>
  <si>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</si>
  <si>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</si>
  <si>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</si>
  <si>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</si>
  <si>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</si>
  <si>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</si>
  <si>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</si>
  <si>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</si>
  <si>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</si>
  <si>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</si>
  <si>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</si>
  <si>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</si>
  <si>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</si>
  <si>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</si>
  <si>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</si>
  <si>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</si>
  <si>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</si>
  <si>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</si>
  <si>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</si>
  <si>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</si>
  <si>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</si>
  <si>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</si>
  <si>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</si>
  <si>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</si>
  <si>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</si>
  <si>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</si>
  <si>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</si>
  <si>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</si>
  <si>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</si>
  <si>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</si>
  <si>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</si>
  <si>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</si>
  <si>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</si>
  <si>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</si>
  <si>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</si>
  <si>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</si>
  <si>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</si>
  <si>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</si>
  <si>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</si>
  <si>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</si>
  <si>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</si>
  <si>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</si>
  <si>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</si>
  <si>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</si>
  <si>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</si>
  <si>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</si>
  <si>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</si>
  <si>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</si>
  <si>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</si>
  <si>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</si>
  <si>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</si>
  <si>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</si>
  <si>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</si>
  <si>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</si>
  <si>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</si>
  <si>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</si>
  <si>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</si>
  <si>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</si>
  <si>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</si>
  <si>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</si>
  <si>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</si>
  <si>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</si>
  <si>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</si>
  <si>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</si>
  <si>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</si>
  <si>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</si>
  <si>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</si>
  <si>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</si>
  <si>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</si>
  <si>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</si>
  <si>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</si>
  <si>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</si>
  <si>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</si>
  <si>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</si>
  <si>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</si>
  <si>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</si>
  <si>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</si>
  <si>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</si>
  <si>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</si>
  <si>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</si>
  <si>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</si>
  <si>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</si>
  <si>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</si>
  <si>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</si>
  <si>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</si>
  <si>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</si>
  <si>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</si>
  <si>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</si>
  <si>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</si>
  <si>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</si>
  <si>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</si>
  <si>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</si>
  <si>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</si>
  <si>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</si>
  <si>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</si>
  <si>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</si>
  <si>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</si>
  <si>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</si>
  <si>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</si>
  <si>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</si>
  <si>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</si>
  <si>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</si>
  <si>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</si>
  <si>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</si>
  <si>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</si>
  <si>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</si>
  <si>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</si>
  <si>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</si>
  <si>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</si>
  <si>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</si>
  <si>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</si>
  <si>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</si>
  <si>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</si>
  <si>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</si>
  <si>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</si>
  <si>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</si>
  <si>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</si>
  <si>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</si>
  <si>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</si>
  <si>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</si>
  <si>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</si>
  <si>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</si>
  <si>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</si>
  <si>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</si>
  <si>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</si>
  <si>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</si>
  <si>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</si>
  <si>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</si>
  <si>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</si>
  <si>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</si>
  <si>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</si>
  <si>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</si>
  <si>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</si>
  <si>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</si>
  <si>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</si>
  <si>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</si>
  <si>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</si>
  <si>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</si>
  <si>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</si>
  <si>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</si>
  <si>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</si>
  <si>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</si>
  <si>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</si>
  <si>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</si>
  <si>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</si>
  <si>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</si>
  <si>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</si>
  <si>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</si>
  <si>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</si>
  <si>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</si>
  <si>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</si>
  <si>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</si>
  <si>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</si>
  <si>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</si>
  <si>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</si>
  <si>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</si>
  <si>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</si>
  <si>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</si>
  <si>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</si>
  <si>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</si>
  <si>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</si>
  <si>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</si>
  <si>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</si>
  <si>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</si>
  <si>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</si>
  <si>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</si>
  <si>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</si>
  <si>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</si>
  <si>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</si>
  <si>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</si>
  <si>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</si>
  <si>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</si>
  <si>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</si>
  <si>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</si>
  <si>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</si>
  <si>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</si>
  <si>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</si>
  <si>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</si>
  <si>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</si>
  <si>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</si>
  <si>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</si>
  <si>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</si>
  <si>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</si>
  <si>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</si>
  <si>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</si>
  <si>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</si>
  <si>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</si>
  <si>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</si>
  <si>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</si>
  <si>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</si>
  <si>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</si>
  <si>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</si>
  <si>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</si>
  <si>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</si>
  <si>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</si>
  <si>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</si>
  <si>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</si>
  <si>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</si>
  <si>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</si>
  <si>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</si>
  <si>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</si>
  <si>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</si>
  <si>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</si>
  <si>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</si>
  <si>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</si>
  <si>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</si>
  <si>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</si>
  <si>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</si>
  <si>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</si>
  <si>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</si>
  <si>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</si>
  <si>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</si>
  <si>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</si>
  <si>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</si>
  <si>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</si>
  <si>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</si>
  <si>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</si>
  <si>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</si>
  <si>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</si>
  <si>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</si>
  <si>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</si>
  <si>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</si>
  <si>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</si>
  <si>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</si>
  <si>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</si>
  <si>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</si>
  <si>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</si>
  <si>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</si>
  <si>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</si>
  <si>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</si>
  <si>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</si>
  <si>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</si>
  <si>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</si>
  <si>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</si>
  <si>
    <t>UHCH Competitive</t>
  </si>
  <si>
    <t>Thanksgiving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</si>
</sst>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3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130">
    <xf numFmtId="0" fontId="0" fillId="0" borderId="0" xfId="0"/>
    <xf numFmtId="0" fontId="14" fillId="0" borderId="0" xfId="0" applyFont="1"/>
    <xf numFmtId="43" fontId="15" fillId="0" borderId="0" xfId="1" applyFont="1" applyFill="1" applyBorder="1"/>
    <xf numFmtId="0" fontId="15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4" fillId="0" borderId="0" xfId="1" applyFont="1" applyFill="1" applyBorder="1"/>
    <xf numFmtId="43" fontId="0" fillId="0" borderId="0" xfId="1" applyFont="1" applyFill="1" applyBorder="1"/>
    <xf numFmtId="43" fontId="15" fillId="0" borderId="0" xfId="1" applyFont="1" applyFill="1"/>
    <xf numFmtId="0" fontId="0" fillId="0" borderId="0" xfId="0" applyAlignment="1">
      <alignment vertical="center"/>
    </xf>
    <xf numFmtId="49" fontId="15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6" fillId="0" borderId="0" xfId="0" applyFont="1" applyAlignment="1">
      <alignment horizontal="center"/>
    </xf>
    <xf numFmtId="1" fontId="14" fillId="0" borderId="0" xfId="0" applyNumberFormat="1" applyFont="1"/>
    <xf numFmtId="1" fontId="15" fillId="0" borderId="0" xfId="1" applyNumberFormat="1" applyFont="1" applyFill="1" applyBorder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3" borderId="10" xfId="0" applyFont="1" applyFill="1" applyBorder="1"/>
    <xf numFmtId="0" fontId="17" fillId="3" borderId="11" xfId="0" applyFont="1" applyFill="1" applyBorder="1"/>
    <xf numFmtId="0" fontId="17" fillId="3" borderId="12" xfId="0" applyFont="1" applyFill="1" applyBorder="1"/>
    <xf numFmtId="43" fontId="0" fillId="0" borderId="0" xfId="0" applyNumberFormat="1"/>
    <xf numFmtId="43" fontId="15" fillId="0" borderId="0" xfId="1" applyFont="1"/>
    <xf numFmtId="1" fontId="15" fillId="0" borderId="0" xfId="1" applyNumberFormat="1" applyFont="1"/>
    <xf numFmtId="49" fontId="15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5" fillId="0" borderId="0" xfId="1" applyNumberFormat="1" applyFont="1" applyFill="1"/>
    <xf numFmtId="0" fontId="12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43" fontId="11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0" fillId="0" borderId="0" xfId="0" applyFont="1"/>
    <xf numFmtId="0" fontId="9" fillId="0" borderId="0" xfId="0" applyFont="1"/>
    <xf numFmtId="43" fontId="9" fillId="0" borderId="0" xfId="1" applyFont="1" applyFill="1"/>
    <xf numFmtId="43" fontId="9" fillId="0" borderId="0" xfId="1" applyFont="1" applyFill="1" applyBorder="1"/>
    <xf numFmtId="1" fontId="9" fillId="0" borderId="0" xfId="1" applyNumberFormat="1" applyFont="1" applyFill="1" applyBorder="1"/>
    <xf numFmtId="49" fontId="9" fillId="0" borderId="0" xfId="1" applyNumberFormat="1" applyFont="1" applyFill="1"/>
    <xf numFmtId="49" fontId="9" fillId="0" borderId="0" xfId="1" applyNumberFormat="1" applyFont="1" applyFill="1" applyBorder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5" fillId="0" borderId="0" xfId="1" applyFont="1" applyFill="1"/>
    <xf numFmtId="43" fontId="5" fillId="0" borderId="0" xfId="1" applyFont="1" applyFill="1" applyBorder="1"/>
    <xf numFmtId="0" fontId="5" fillId="0" borderId="0" xfId="0" applyFont="1"/>
    <xf numFmtId="43" fontId="5" fillId="0" borderId="0" xfId="1" applyFont="1" applyFill="1" applyAlignment="1">
      <alignment horizontal="center"/>
    </xf>
    <xf numFmtId="49" fontId="5" fillId="0" borderId="0" xfId="1" applyNumberFormat="1" applyFont="1" applyFill="1"/>
    <xf numFmtId="43" fontId="6" fillId="0" borderId="0" xfId="0" applyNumberFormat="1" applyFont="1"/>
    <xf numFmtId="43" fontId="10" fillId="0" borderId="0" xfId="0" applyNumberFormat="1" applyFont="1"/>
    <xf numFmtId="43" fontId="7" fillId="0" borderId="0" xfId="0" applyNumberFormat="1" applyFont="1"/>
    <xf numFmtId="43" fontId="15" fillId="0" borderId="0" xfId="0" applyNumberFormat="1" applyFont="1"/>
    <xf numFmtId="43" fontId="15" fillId="0" borderId="0" xfId="0" applyNumberFormat="1" applyFont="1" applyAlignment="1">
      <alignment horizontal="center"/>
    </xf>
    <xf numFmtId="43" fontId="5" fillId="0" borderId="0" xfId="0" applyNumberFormat="1" applyFont="1"/>
    <xf numFmtId="1" fontId="5" fillId="0" borderId="0" xfId="1" applyNumberFormat="1" applyFont="1" applyFill="1"/>
    <xf numFmtId="43" fontId="4" fillId="0" borderId="0" xfId="1" applyFont="1" applyProtection="1"/>
    <xf numFmtId="43" fontId="19" fillId="0" borderId="0" xfId="1" applyFont="1" applyProtection="1"/>
    <xf numFmtId="0" fontId="4" fillId="2" borderId="3" xfId="0" applyFont="1" applyFill="1" applyBorder="1" applyAlignment="1" applyProtection="1">
      <alignment horizontal="right"/>
      <protection locked="0"/>
    </xf>
    <xf numFmtId="43" fontId="19" fillId="0" borderId="1" xfId="1" applyFont="1" applyBorder="1" applyProtection="1"/>
    <xf numFmtId="43" fontId="4" fillId="0" borderId="7" xfId="1" applyFont="1" applyBorder="1" applyProtection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15" fillId="0" borderId="13" xfId="1" applyFont="1" applyFill="1" applyBorder="1"/>
    <xf numFmtId="43" fontId="15" fillId="0" borderId="0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Continuous"/>
    </xf>
    <xf numFmtId="0" fontId="21" fillId="0" borderId="4" xfId="0" applyFont="1" applyBorder="1" applyAlignment="1">
      <alignment horizontal="right"/>
    </xf>
    <xf numFmtId="0" fontId="21" fillId="0" borderId="5" xfId="0" applyFont="1" applyBorder="1" applyAlignment="1">
      <alignment horizontal="right"/>
    </xf>
    <xf numFmtId="0" fontId="19" fillId="0" borderId="0" xfId="0" applyFont="1" applyAlignment="1">
      <alignment horizontal="center"/>
    </xf>
    <xf numFmtId="0" fontId="19" fillId="0" borderId="6" xfId="0" applyFont="1" applyBorder="1" applyAlignment="1">
      <alignment horizontal="right"/>
    </xf>
    <xf numFmtId="43" fontId="4" fillId="0" borderId="7" xfId="1" applyFont="1" applyBorder="1" applyAlignment="1" applyProtection="1">
      <alignment horizontal="left"/>
    </xf>
    <xf numFmtId="43" fontId="4" fillId="0" borderId="7" xfId="1" applyFont="1" applyBorder="1" applyAlignment="1" applyProtection="1">
      <alignment horizontal="right"/>
    </xf>
    <xf numFmtId="43" fontId="4" fillId="0" borderId="7" xfId="0" applyNumberFormat="1" applyFont="1" applyBorder="1"/>
    <xf numFmtId="0" fontId="19" fillId="0" borderId="8" xfId="0" applyFont="1" applyBorder="1" applyAlignment="1">
      <alignment horizontal="right"/>
    </xf>
    <xf numFmtId="43" fontId="4" fillId="0" borderId="9" xfId="1" applyFont="1" applyBorder="1" applyAlignment="1" applyProtection="1">
      <alignment horizontal="left"/>
    </xf>
    <xf numFmtId="43" fontId="4" fillId="0" borderId="9" xfId="0" applyNumberFormat="1" applyFont="1" applyBorder="1"/>
    <xf numFmtId="43" fontId="4" fillId="0" borderId="0" xfId="1" applyFont="1" applyAlignment="1" applyProtection="1">
      <alignment horizontal="left"/>
    </xf>
    <xf numFmtId="43" fontId="4" fillId="0" borderId="0" xfId="0" applyNumberFormat="1" applyFont="1"/>
    <xf numFmtId="43" fontId="4" fillId="0" borderId="0" xfId="1" applyFont="1" applyAlignment="1" applyProtection="1"/>
    <xf numFmtId="0" fontId="4" fillId="0" borderId="0" xfId="0" applyFont="1" applyAlignment="1">
      <alignment horizontal="left"/>
    </xf>
    <xf numFmtId="43" fontId="4" fillId="0" borderId="0" xfId="1" applyFont="1" applyAlignment="1" applyProtection="1">
      <alignment horizontal="right"/>
    </xf>
    <xf numFmtId="0" fontId="19" fillId="0" borderId="0" xfId="0" applyFont="1" applyAlignment="1">
      <alignment horizontal="right"/>
    </xf>
    <xf numFmtId="43" fontId="19" fillId="0" borderId="0" xfId="0" applyNumberFormat="1" applyFont="1"/>
    <xf numFmtId="0" fontId="20" fillId="0" borderId="0" xfId="0" applyFont="1" applyAlignment="1">
      <alignment horizontal="right"/>
    </xf>
    <xf numFmtId="0" fontId="4" fillId="2" borderId="2" xfId="0" applyFont="1" applyFill="1" applyBorder="1"/>
    <xf numFmtId="43" fontId="3" fillId="0" borderId="0" xfId="1" applyFont="1" applyFill="1" applyBorder="1"/>
    <xf numFmtId="0" fontId="3" fillId="0" borderId="15" xfId="0" applyFont="1" applyBorder="1"/>
    <xf numFmtId="0" fontId="3" fillId="5" borderId="13" xfId="0" applyFont="1" applyFill="1" applyBorder="1"/>
    <xf numFmtId="0" fontId="3" fillId="0" borderId="13" xfId="0" applyFont="1" applyBorder="1"/>
    <xf numFmtId="43" fontId="3" fillId="0" borderId="13" xfId="1" applyFont="1" applyFill="1" applyBorder="1"/>
    <xf numFmtId="43" fontId="3" fillId="0" borderId="13" xfId="1" applyFont="1" applyFill="1" applyBorder="1" applyAlignment="1">
      <alignment horizontal="center"/>
    </xf>
    <xf numFmtId="1" fontId="3" fillId="0" borderId="13" xfId="1" applyNumberFormat="1" applyFont="1" applyFill="1" applyBorder="1"/>
    <xf numFmtId="49" fontId="3" fillId="0" borderId="13" xfId="1" applyNumberFormat="1" applyFont="1" applyFill="1" applyBorder="1"/>
    <xf numFmtId="43" fontId="3" fillId="0" borderId="16" xfId="1" applyFont="1" applyFill="1" applyBorder="1"/>
    <xf numFmtId="0" fontId="3" fillId="0" borderId="17" xfId="0" applyFont="1" applyBorder="1"/>
    <xf numFmtId="0" fontId="3" fillId="0" borderId="14" xfId="0" applyFont="1" applyBorder="1"/>
    <xf numFmtId="43" fontId="3" fillId="0" borderId="14" xfId="1" applyFont="1" applyFill="1" applyBorder="1"/>
    <xf numFmtId="43" fontId="3" fillId="0" borderId="14" xfId="1" applyFont="1" applyFill="1" applyBorder="1" applyAlignment="1">
      <alignment horizontal="center"/>
    </xf>
    <xf numFmtId="1" fontId="3" fillId="0" borderId="14" xfId="1" applyNumberFormat="1" applyFont="1" applyFill="1" applyBorder="1"/>
    <xf numFmtId="49" fontId="3" fillId="0" borderId="14" xfId="1" applyNumberFormat="1" applyFont="1" applyFill="1" applyBorder="1"/>
    <xf numFmtId="43" fontId="3" fillId="0" borderId="18" xfId="1" applyFont="1" applyFill="1" applyBorder="1"/>
    <xf numFmtId="43" fontId="2" fillId="0" borderId="0" xfId="1" applyFont="1" applyFill="1" applyAlignment="1">
      <alignment horizontal="center"/>
    </xf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22" fillId="0" borderId="0" xfId="1" applyFont="1" applyFill="1" applyAlignment="1">
      <alignment horizontal="center"/>
    </xf>
    <xf numFmtId="43" fontId="22" fillId="0" borderId="0" xfId="1" applyFont="1" applyFill="1" applyBorder="1" applyAlignment="1">
      <alignment horizontal="center"/>
    </xf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0" borderId="0" xfId="1" applyFont="1" applyFill="1" applyBorder="1" applyAlignment="1">
      <alignment horizontal="center"/>
    </xf>
    <xf numFmtId="0" fontId="19" fillId="0" borderId="0" xfId="0" applyFont="1" applyAlignment="1">
      <alignment horizontal="right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2" totalsRowShown="0" headerRowDxfId="59" dataDxfId="58">
  <autoFilter ref="A1:V162" xr:uid="{0EDF487B-BC6A-43CC-A5E2-F07346E1A4ED}">
    <filterColumn colId="8">
      <filters>
        <filter val="Limited Specials"/>
        <filter val="Thanksgiving Special"/>
      </filters>
    </filterColumn>
  </autoFilter>
  <sortState xmlns:xlrd2="http://schemas.microsoft.com/office/spreadsheetml/2017/richdata2" ref="A2:V140">
    <sortCondition ref="I1:I140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40625" defaultRowHeight="12.75"/>
  <cols>
    <col min="1" max="1" width="36.140625" style="73" customWidth="1"/>
    <col min="2" max="2" width="16.5703125" style="73" customWidth="1"/>
    <col min="3" max="3" width="22" style="73" customWidth="1"/>
    <col min="4" max="5" width="19.28515625" style="73" customWidth="1"/>
    <col min="6" max="6" width="38.28515625" style="73" bestFit="1" customWidth="1"/>
    <col min="7" max="7" width="18.140625" style="73" customWidth="1"/>
    <col min="8" max="16384" width="9.140625" style="73"/>
  </cols>
  <sheetData>
    <row r="2" spans="1:8" ht="13.5" thickBot="1"/>
    <row r="3" spans="1:8" ht="13.5" thickBot="1">
      <c r="A3" s="74" t="s">
        <v>586</v>
      </c>
      <c r="B3" s="128" t="s">
        <v>499</v>
      </c>
      <c r="C3" s="129"/>
    </row>
    <row r="4" spans="1:8" ht="13.5" thickBot="1">
      <c r="A4" s="74"/>
    </row>
    <row r="5" spans="1:8" ht="13.5" thickBot="1">
      <c r="A5" s="74" t="s">
        <v>0</v>
      </c>
      <c r="B5" s="128">
        <v>2</v>
      </c>
      <c r="C5" s="129"/>
    </row>
    <row r="6" spans="1:8" ht="13.5" thickBot="1">
      <c r="A6" s="74"/>
      <c r="G6" s="75"/>
      <c r="H6" s="76"/>
    </row>
    <row r="7" spans="1:8" ht="13.5" thickBot="1">
      <c r="A7" s="74" t="s">
        <v>61</v>
      </c>
      <c r="B7" s="128" t="s">
        <v>597</v>
      </c>
      <c r="C7" s="129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5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3029</v>
      </c>
      <c r="C13" s="82" t="s">
        <v>412</v>
      </c>
      <c r="D13" s="84" cm="1">
        <f t="array" ref="D13">IF($B$5=1,"",_xlfn.XLOOKUP($B$3&amp;$B$7,haList!A:A&amp;haList!I:I,haList!D:D))</f>
        <v>3029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-804</v>
      </c>
      <c r="C14" s="82" t="s">
        <v>538</v>
      </c>
      <c r="D14" s="68" cm="1">
        <f t="array" ref="D14">IF(B5=1,"",_xlfn.XLOOKUP($B$3,haList!$A:$A,-haList!$F:$F))</f>
        <v>-804</v>
      </c>
      <c r="E14" s="64"/>
      <c r="F14" s="64"/>
    </row>
    <row r="15" spans="1:8" ht="18" customHeight="1">
      <c r="A15" s="82" t="s">
        <v>587</v>
      </c>
      <c r="B15" s="83">
        <f>B13+B14</f>
        <v>2225</v>
      </c>
      <c r="C15" s="82" t="s">
        <v>587</v>
      </c>
      <c r="D15" s="85">
        <f>IF(B5=1,"",D13+D14)</f>
        <v>2225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0</v>
      </c>
      <c r="C16" s="82" t="s">
        <v>588</v>
      </c>
      <c r="D16" s="83" cm="1">
        <f t="array" ref="D16">IF(B5=1,"",_xlfn.XLOOKUP($B$3&amp;$B$7,haList!$A:$A&amp;haList!$I:$I,-haList!$J:$J))</f>
        <v>0</v>
      </c>
      <c r="E16" s="64"/>
      <c r="F16" s="64"/>
    </row>
    <row r="17" spans="1:9" ht="18" customHeight="1">
      <c r="A17" s="82" t="s">
        <v>589</v>
      </c>
      <c r="B17" s="83">
        <f>B15+B16</f>
        <v>2225</v>
      </c>
      <c r="C17" s="82" t="s">
        <v>589</v>
      </c>
      <c r="D17" s="85">
        <f>IF(B5=1,"",D15+D16)</f>
        <v>2225</v>
      </c>
      <c r="E17" s="64"/>
      <c r="F17" s="64"/>
    </row>
    <row r="18" spans="1:9" ht="18" customHeight="1">
      <c r="A18" s="82" t="s">
        <v>590</v>
      </c>
      <c r="B18" s="83" cm="1">
        <f t="array" ref="B18">IF($B$7="Open House Special",_xlfn.XLOOKUP($B$3&amp;"Marketing Offer",haList!$A:$A&amp;haList!$M:$M,-haList!$N:$N),0)</f>
        <v>0</v>
      </c>
      <c r="C18" s="82" t="s">
        <v>590</v>
      </c>
      <c r="D18" s="83" cm="1">
        <f t="array" ref="D18">IF(B5=1,"",IF($B$7="Open House Special",_xlfn.XLOOKUP($B$3&amp;"Marketing Offer",haList!$A:$A&amp;haList!$M:$M,-haList!$N:$N),0))</f>
        <v>0</v>
      </c>
      <c r="E18" s="64"/>
      <c r="F18" s="64"/>
    </row>
    <row r="19" spans="1:9" ht="18" customHeight="1" thickBot="1">
      <c r="A19" s="86" t="s">
        <v>591</v>
      </c>
      <c r="B19" s="87">
        <f>B17+B18</f>
        <v>2225</v>
      </c>
      <c r="C19" s="86" t="s">
        <v>591</v>
      </c>
      <c r="D19" s="88">
        <f>IF(B5=1,"",D17+D18)</f>
        <v>2225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>
        <f>B19</f>
        <v>2225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>
        <f>IF(B5=2,D19,0)</f>
        <v>2225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cm="1">
        <f t="array" ref="B25">IF($B$3="","",_xlfn.XLOOKUP($B$3&amp;$B$7,haList!$A:$A&amp;haList!$I:$I,haList!$T:$T))</f>
        <v>0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>
        <f>IF($B$5=1,"",B25)</f>
        <v>0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>
        <f>C22+C23+C24+C25+C26</f>
        <v>4700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>
        <f>C27+C28</f>
        <v>5100</v>
      </c>
      <c r="D29" s="94"/>
      <c r="E29" s="94"/>
      <c r="F29" s="65"/>
      <c r="H29" s="64"/>
    </row>
    <row r="30" spans="1:9" ht="18" customHeight="1">
      <c r="A30" s="127"/>
      <c r="B30" s="127"/>
      <c r="C30" s="127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>
        <f>C29</f>
        <v>5100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510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>
        <f>C33-C34</f>
        <v>4590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8"/>
  <sheetViews>
    <sheetView tabSelected="1" zoomScale="80" zoomScaleNormal="80" workbookViewId="0">
      <pane xSplit="1" ySplit="1" topLeftCell="E42" activePane="bottomRight" state="frozen"/>
      <selection pane="topRight" activeCell="B1" sqref="B1"/>
      <selection pane="bottomLeft" activeCell="A2" sqref="A2"/>
      <selection pane="bottomRight" activeCell="K162" sqref="K162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 hidden="1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40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 hidden="1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40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 hidden="1">
      <c r="A4" s="38" t="s">
        <v>499</v>
      </c>
      <c r="B4" s="47" t="s">
        <v>506</v>
      </c>
      <c r="C4" s="57">
        <f>(HearingAids[[#This Row],[haMSRP]]*2)+HearingAids[[#This Row],[chargerPrice]]</f>
        <v>6308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804</v>
      </c>
      <c r="G4" s="39">
        <f>HearingAids[[#This Row],[haMSRP]]-HearingAids[[#This Row],[Discount Amount 1]]</f>
        <v>2225</v>
      </c>
      <c r="H4" s="40">
        <v>4700</v>
      </c>
      <c r="I4" s="70" t="s">
        <v>597</v>
      </c>
      <c r="J4" s="2">
        <v>0</v>
      </c>
      <c r="K4" s="2">
        <f>HearingAids[[#This Row],[HAListPrice]]-HearingAids[[#This Row],[Discount Amount 2]]</f>
        <v>2225</v>
      </c>
      <c r="L4" s="2"/>
      <c r="M4" s="2"/>
      <c r="N4" s="2"/>
      <c r="O4" s="2"/>
      <c r="P4" s="40"/>
      <c r="Q4" s="41">
        <v>1</v>
      </c>
      <c r="R4" s="40" t="s">
        <v>13</v>
      </c>
      <c r="S4" s="40">
        <v>250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 hidden="1">
      <c r="A5" s="38" t="s">
        <v>496</v>
      </c>
      <c r="B5" s="46" t="s">
        <v>503</v>
      </c>
      <c r="C5" s="59">
        <f>(HearingAids[[#This Row],[haMSRP]]*2)+HearingAids[[#This Row],[chargerPrice]]</f>
        <v>11888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1019</v>
      </c>
      <c r="G5" s="39">
        <f>HearingAids[[#This Row],[haMSRP]]-HearingAids[[#This Row],[Discount Amount 1]]</f>
        <v>4800</v>
      </c>
      <c r="H5" s="2">
        <v>9850</v>
      </c>
      <c r="I5" s="70" t="s">
        <v>597</v>
      </c>
      <c r="J5" s="2">
        <f>(HearingAids[[#This Row],[haMSRP]]-HearingAids[[#This Row],[Discount Amount 1]])-(HearingAids[[#This Row],[haNetPriceBinural]]-HearingAids[[#This Row],[chargerPrice]])/2</f>
        <v>0</v>
      </c>
      <c r="K5" s="2">
        <f>HearingAids[[#This Row],[HAListPrice]]-HearingAids[[#This Row],[Discount Amount 2]]</f>
        <v>4800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250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 hidden="1">
      <c r="A6" s="38" t="s">
        <v>497</v>
      </c>
      <c r="B6" s="46" t="s">
        <v>505</v>
      </c>
      <c r="C6" s="59">
        <f>(HearingAids[[#This Row],[haMSRP]]*2)+HearingAids[[#This Row],[chargerPrice]]</f>
        <v>9608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479</v>
      </c>
      <c r="G6" s="39">
        <f>HearingAids[[#This Row],[haMSRP]]-HearingAids[[#This Row],[Discount Amount 1]]</f>
        <v>4200</v>
      </c>
      <c r="H6" s="2">
        <v>8650</v>
      </c>
      <c r="I6" s="70" t="s">
        <v>597</v>
      </c>
      <c r="J6" s="2">
        <f>(HearingAids[[#This Row],[haMSRP]]-HearingAids[[#This Row],[Discount Amount 1]])-(HearingAids[[#This Row],[haNetPriceBinural]]-HearingAids[[#This Row],[chargerPrice]])/2</f>
        <v>0</v>
      </c>
      <c r="K6" s="2">
        <f>HearingAids[[#This Row],[HAListPrice]]-HearingAids[[#This Row],[Discount Amount 2]]</f>
        <v>4200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250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 hidden="1">
      <c r="A7" s="38" t="s">
        <v>498</v>
      </c>
      <c r="B7" s="46" t="s">
        <v>504</v>
      </c>
      <c r="C7" s="59">
        <f>(HearingAids[[#This Row],[haMSRP]]*2)+HearingAids[[#This Row],[chargerPrice]]</f>
        <v>7628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219</v>
      </c>
      <c r="G7" s="39">
        <f>HearingAids[[#This Row],[haMSRP]]-HearingAids[[#This Row],[Discount Amount 1]]</f>
        <v>3470</v>
      </c>
      <c r="H7" s="2">
        <v>7190</v>
      </c>
      <c r="I7" s="70" t="s">
        <v>597</v>
      </c>
      <c r="J7" s="2">
        <f>(HearingAids[[#This Row],[haMSRP]]-HearingAids[[#This Row],[Discount Amount 1]])-(HearingAids[[#This Row],[haNetPriceBinural]]-HearingAids[[#This Row],[chargerPrice]])/2</f>
        <v>0</v>
      </c>
      <c r="K7" s="2">
        <f>HearingAids[[#This Row],[HAListPrice]]-HearingAids[[#This Row],[Discount Amount 2]]</f>
        <v>3470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250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 hidden="1">
      <c r="A8" s="3" t="s">
        <v>42</v>
      </c>
      <c r="B8" s="3" t="s">
        <v>67</v>
      </c>
      <c r="C8" s="60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40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 hidden="1">
      <c r="A9" s="3" t="s">
        <v>43</v>
      </c>
      <c r="B9" s="47" t="s">
        <v>509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40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 hidden="1">
      <c r="A10" s="3" t="s">
        <v>29</v>
      </c>
      <c r="B10" s="47" t="s">
        <v>521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40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 hidden="1">
      <c r="A11" s="3" t="s">
        <v>30</v>
      </c>
      <c r="B11" s="47" t="s">
        <v>522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40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 hidden="1">
      <c r="A12" s="3" t="s">
        <v>31</v>
      </c>
      <c r="B12" s="47" t="s">
        <v>523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40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 hidden="1">
      <c r="A13" s="3" t="s">
        <v>32</v>
      </c>
      <c r="B13" s="47" t="s">
        <v>524</v>
      </c>
      <c r="C13" s="57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40">
        <v>3100</v>
      </c>
      <c r="I13" s="70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 hidden="1">
      <c r="A14" s="3" t="s">
        <v>38</v>
      </c>
      <c r="B14" s="47" t="s">
        <v>515</v>
      </c>
      <c r="C14" s="57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40">
        <v>3100</v>
      </c>
      <c r="I14" s="70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 hidden="1">
      <c r="A15" s="3" t="s">
        <v>40</v>
      </c>
      <c r="B15" s="47" t="s">
        <v>518</v>
      </c>
      <c r="C15" s="57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40">
        <v>3100</v>
      </c>
      <c r="I15" s="70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 hidden="1">
      <c r="A16" s="3" t="s">
        <v>44</v>
      </c>
      <c r="B16" s="3" t="s">
        <v>68</v>
      </c>
      <c r="C16" s="60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40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 hidden="1">
      <c r="A17" s="3" t="s">
        <v>406</v>
      </c>
      <c r="B17" s="3" t="s">
        <v>407</v>
      </c>
      <c r="C17" s="60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40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22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 hidden="1">
      <c r="A18" s="3" t="s">
        <v>45</v>
      </c>
      <c r="B18" s="47" t="s">
        <v>510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40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 hidden="1">
      <c r="A19" s="3" t="s">
        <v>33</v>
      </c>
      <c r="B19" s="47" t="s">
        <v>525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40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 hidden="1">
      <c r="A20" s="3" t="s">
        <v>34</v>
      </c>
      <c r="B20" s="47" t="s">
        <v>526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40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 hidden="1">
      <c r="A21" s="3" t="s">
        <v>35</v>
      </c>
      <c r="B21" s="47" t="s">
        <v>527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40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 hidden="1">
      <c r="A22" s="3" t="s">
        <v>36</v>
      </c>
      <c r="B22" s="47" t="s">
        <v>528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40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 hidden="1">
      <c r="A23" s="3" t="s">
        <v>37</v>
      </c>
      <c r="B23" s="47" t="s">
        <v>512</v>
      </c>
      <c r="C23" s="57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40">
        <v>3500</v>
      </c>
      <c r="I23" s="70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 hidden="1">
      <c r="A24" s="3" t="s">
        <v>39</v>
      </c>
      <c r="B24" s="47" t="s">
        <v>516</v>
      </c>
      <c r="C24" s="57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40">
        <v>3500</v>
      </c>
      <c r="I24" s="70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 hidden="1">
      <c r="A25" s="3" t="s">
        <v>41</v>
      </c>
      <c r="B25" s="47" t="s">
        <v>519</v>
      </c>
      <c r="C25" s="57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40">
        <v>3500</v>
      </c>
      <c r="I25" s="70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 hidden="1">
      <c r="A26" s="3" t="s">
        <v>25</v>
      </c>
      <c r="B26" s="3" t="s">
        <v>66</v>
      </c>
      <c r="C26" s="60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40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2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 hidden="1">
      <c r="A27" s="3" t="s">
        <v>27</v>
      </c>
      <c r="B27" s="47" t="s">
        <v>511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40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 hidden="1">
      <c r="A28" s="3" t="s">
        <v>15</v>
      </c>
      <c r="B28" s="47" t="s">
        <v>529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40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 hidden="1">
      <c r="A29" s="3" t="s">
        <v>19</v>
      </c>
      <c r="B29" s="47" t="s">
        <v>530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40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 hidden="1">
      <c r="A30" s="3" t="s">
        <v>20</v>
      </c>
      <c r="B30" s="47" t="s">
        <v>531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40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 hidden="1">
      <c r="A31" s="3" t="s">
        <v>21</v>
      </c>
      <c r="B31" s="47" t="s">
        <v>537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40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 hidden="1">
      <c r="A32" s="3" t="s">
        <v>22</v>
      </c>
      <c r="B32" s="47" t="s">
        <v>513</v>
      </c>
      <c r="C32" s="57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40">
        <v>4650</v>
      </c>
      <c r="I32" s="70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 hidden="1">
      <c r="A33" s="3" t="s">
        <v>23</v>
      </c>
      <c r="B33" s="47" t="s">
        <v>514</v>
      </c>
      <c r="C33" s="57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40">
        <v>4650</v>
      </c>
      <c r="I33" s="70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 hidden="1">
      <c r="A34" s="3" t="s">
        <v>24</v>
      </c>
      <c r="B34" s="47" t="s">
        <v>517</v>
      </c>
      <c r="C34" s="57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40">
        <v>4650</v>
      </c>
      <c r="I34" s="70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 hidden="1">
      <c r="A35" s="38" t="s">
        <v>500</v>
      </c>
      <c r="B35" s="47" t="s">
        <v>507</v>
      </c>
      <c r="C35" s="57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22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22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 hidden="1">
      <c r="A36" s="3" t="s">
        <v>413</v>
      </c>
      <c r="B36" s="37" t="s">
        <v>416</v>
      </c>
      <c r="C36" s="58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2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3220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 hidden="1">
      <c r="A37" s="3" t="s">
        <v>414</v>
      </c>
      <c r="B37" s="37" t="s">
        <v>417</v>
      </c>
      <c r="C37" s="58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2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2320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 hidden="1">
      <c r="A38" s="3" t="s">
        <v>415</v>
      </c>
      <c r="B38" s="37" t="s">
        <v>418</v>
      </c>
      <c r="C38" s="58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2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2720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 hidden="1">
      <c r="A39" s="38" t="s">
        <v>496</v>
      </c>
      <c r="B39" s="46" t="s">
        <v>503</v>
      </c>
      <c r="C39" s="59">
        <f>(HearingAids[[#This Row],[haMSRP]]*2)+HearingAids[[#This Row],[chargerPrice]]</f>
        <v>11888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1019</v>
      </c>
      <c r="G39" s="39">
        <f>HearingAids[[#This Row],[haMSRP]]-HearingAids[[#This Row],[Discount Amount 1]]</f>
        <v>4800</v>
      </c>
      <c r="H39" s="2">
        <v>9850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4800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2">
        <v>250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 hidden="1">
      <c r="A40" s="38" t="s">
        <v>498</v>
      </c>
      <c r="B40" s="46" t="s">
        <v>505</v>
      </c>
      <c r="C40" s="59">
        <f>(HearingAids[[#This Row],[haMSRP]]*2)+HearingAids[[#This Row],[chargerPrice]]</f>
        <v>7628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219</v>
      </c>
      <c r="G40" s="39">
        <f>HearingAids[[#This Row],[haMSRP]]-HearingAids[[#This Row],[Discount Amount 1]]</f>
        <v>3470</v>
      </c>
      <c r="H40" s="2">
        <v>7190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3470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2">
        <v>250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 hidden="1">
      <c r="A41" s="38" t="s">
        <v>497</v>
      </c>
      <c r="B41" s="46" t="s">
        <v>504</v>
      </c>
      <c r="C41" s="59">
        <f>(HearingAids[[#This Row],[haMSRP]]*2)+HearingAids[[#This Row],[chargerPrice]]</f>
        <v>9608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479</v>
      </c>
      <c r="G41" s="39">
        <f>HearingAids[[#This Row],[haMSRP]]-HearingAids[[#This Row],[Discount Amount 1]]</f>
        <v>4200</v>
      </c>
      <c r="H41" s="2">
        <v>8650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4200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2">
        <v>250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54" t="s">
        <v>496</v>
      </c>
      <c r="B42" s="54" t="s">
        <v>503</v>
      </c>
      <c r="C42" s="62">
        <f>(HearingAids[[#This Row],[haMSRP]]*2)+HearingAids[[#This Row],[chargerPrice]]</f>
        <v>11888</v>
      </c>
      <c r="D42" s="52">
        <v>5819</v>
      </c>
      <c r="E42" s="52" t="s">
        <v>538</v>
      </c>
      <c r="F42" s="52">
        <f>HearingAids[[#This Row],[haMSRP]]-((HearingAids[[#This Row],[ListPriceBinural]]-HearingAids[[#This Row],[chargerPrice]])/2)</f>
        <v>1019</v>
      </c>
      <c r="G42" s="52">
        <f>HearingAids[[#This Row],[haMSRP]]-HearingAids[[#This Row],[Discount Amount 1]]</f>
        <v>4800</v>
      </c>
      <c r="H42" s="2">
        <v>9850</v>
      </c>
      <c r="I42" s="114" t="s">
        <v>626</v>
      </c>
      <c r="J42" s="121">
        <f>750</f>
        <v>750</v>
      </c>
      <c r="K42" s="53">
        <f>HearingAids[[#This Row],[HAListPrice]]-HearingAids[[#This Row],[Discount Amount 2]]</f>
        <v>4050</v>
      </c>
      <c r="L42" s="53">
        <f>9350</f>
        <v>9350</v>
      </c>
      <c r="M42" s="72"/>
      <c r="N42" s="53"/>
      <c r="O42" s="55"/>
      <c r="P42" s="52">
        <v>8350</v>
      </c>
      <c r="Q42" s="63">
        <v>1</v>
      </c>
      <c r="R42" s="63" t="s">
        <v>13</v>
      </c>
      <c r="S42" s="63">
        <v>250</v>
      </c>
      <c r="T42" s="56" t="s">
        <v>14</v>
      </c>
      <c r="U42" s="56">
        <v>0</v>
      </c>
      <c r="V42" s="52" t="s">
        <v>11</v>
      </c>
      <c r="Y42" s="25"/>
      <c r="Z42" s="25"/>
      <c r="AA42" s="25"/>
      <c r="AB42"/>
      <c r="AC42"/>
      <c r="AD42"/>
      <c r="AE42"/>
    </row>
    <row r="43" spans="1:31" ht="12.75">
      <c r="A43" s="54" t="s">
        <v>497</v>
      </c>
      <c r="B43" s="54" t="s">
        <v>504</v>
      </c>
      <c r="C43" s="62">
        <f>(HearingAids[[#This Row],[haMSRP]]*2)+HearingAids[[#This Row],[chargerPrice]]</f>
        <v>9608</v>
      </c>
      <c r="D43" s="52">
        <v>4679</v>
      </c>
      <c r="E43" s="52" t="s">
        <v>538</v>
      </c>
      <c r="F43" s="52">
        <f>HearingAids[[#This Row],[haMSRP]]-((HearingAids[[#This Row],[ListPriceBinural]]-HearingAids[[#This Row],[chargerPrice]])/2)</f>
        <v>479</v>
      </c>
      <c r="G43" s="52">
        <f>HearingAids[[#This Row],[haMSRP]]-HearingAids[[#This Row],[Discount Amount 1]]</f>
        <v>4200</v>
      </c>
      <c r="H43" s="2">
        <v>8650</v>
      </c>
      <c r="I43" s="114" t="s">
        <v>626</v>
      </c>
      <c r="J43" s="53">
        <f>750</f>
        <v>750</v>
      </c>
      <c r="K43" s="53">
        <f>HearingAids[[#This Row],[HAListPrice]]-HearingAids[[#This Row],[Discount Amount 2]]</f>
        <v>3450</v>
      </c>
      <c r="L43" s="53">
        <f>8150</f>
        <v>8150</v>
      </c>
      <c r="M43" s="72"/>
      <c r="N43" s="53"/>
      <c r="O43" s="55"/>
      <c r="P43" s="52">
        <v>7150</v>
      </c>
      <c r="Q43" s="63">
        <v>1</v>
      </c>
      <c r="R43" s="63" t="s">
        <v>13</v>
      </c>
      <c r="S43" s="63">
        <v>250</v>
      </c>
      <c r="T43" s="56" t="s">
        <v>14</v>
      </c>
      <c r="U43" s="56">
        <v>0</v>
      </c>
      <c r="V43" s="52" t="s">
        <v>11</v>
      </c>
      <c r="Y43" s="25"/>
      <c r="Z43" s="25"/>
      <c r="AA43" s="25"/>
      <c r="AB43"/>
      <c r="AC43"/>
      <c r="AD43"/>
      <c r="AE43"/>
    </row>
    <row r="44" spans="1:31" ht="12.75" hidden="1">
      <c r="A44" s="3" t="s">
        <v>51</v>
      </c>
      <c r="B44" s="47" t="s">
        <v>520</v>
      </c>
      <c r="C44" s="57">
        <f>(HearingAids[[#This Row],[haMSRP]]*2)+HearingAids[[#This Row],[chargerPrice]]</f>
        <v>11638</v>
      </c>
      <c r="D44" s="39">
        <v>5819</v>
      </c>
      <c r="E44" s="52" t="s">
        <v>538</v>
      </c>
      <c r="F44" s="39">
        <f>HearingAids[[#This Row],[haMSRP]]-((HearingAids[[#This Row],[ListPriceBinural]]-HearingAids[[#This Row],[chargerPrice]])/2)</f>
        <v>894</v>
      </c>
      <c r="G44" s="39">
        <f>HearingAids[[#This Row],[haMSRP]]-HearingAids[[#This Row],[Discount Amount 1]]</f>
        <v>4925</v>
      </c>
      <c r="H44" s="2">
        <v>9850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4925</v>
      </c>
      <c r="L44" s="2">
        <v>9850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 hidden="1">
      <c r="A45" s="3" t="s">
        <v>52</v>
      </c>
      <c r="B45" s="47" t="s">
        <v>532</v>
      </c>
      <c r="C45" s="57">
        <f>(HearingAids[[#This Row],[haMSRP]]*2)+HearingAids[[#This Row],[chargerPrice]]</f>
        <v>11638</v>
      </c>
      <c r="D45" s="39">
        <v>5819</v>
      </c>
      <c r="E45" s="52" t="s">
        <v>538</v>
      </c>
      <c r="F45" s="39">
        <f>HearingAids[[#This Row],[haMSRP]]-((HearingAids[[#This Row],[ListPriceBinural]]-HearingAids[[#This Row],[chargerPrice]])/2)</f>
        <v>894</v>
      </c>
      <c r="G45" s="39">
        <f>HearingAids[[#This Row],[haMSRP]]-HearingAids[[#This Row],[Discount Amount 1]]</f>
        <v>4925</v>
      </c>
      <c r="H45" s="2">
        <v>9850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4925</v>
      </c>
      <c r="L45" s="2">
        <v>9850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 hidden="1">
      <c r="A46" s="3" t="s">
        <v>53</v>
      </c>
      <c r="B46" s="47" t="s">
        <v>533</v>
      </c>
      <c r="C46" s="57">
        <f>(HearingAids[[#This Row],[haMSRP]]*2)+HearingAids[[#This Row],[chargerPrice]]</f>
        <v>7378</v>
      </c>
      <c r="D46" s="39">
        <v>3689</v>
      </c>
      <c r="E46" s="52" t="s">
        <v>538</v>
      </c>
      <c r="F46" s="39">
        <f>HearingAids[[#This Row],[haMSRP]]-((HearingAids[[#This Row],[ListPriceBinural]]-HearingAids[[#This Row],[chargerPrice]])/2)</f>
        <v>94</v>
      </c>
      <c r="G46" s="39">
        <f>HearingAids[[#This Row],[haMSRP]]-HearingAids[[#This Row],[Discount Amount 1]]</f>
        <v>3595</v>
      </c>
      <c r="H46" s="2">
        <v>7190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3595</v>
      </c>
      <c r="L46" s="2">
        <v>7190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 hidden="1">
      <c r="A47" s="3" t="s">
        <v>54</v>
      </c>
      <c r="B47" s="47" t="s">
        <v>534</v>
      </c>
      <c r="C47" s="57">
        <f>(HearingAids[[#This Row],[haMSRP]]*2)+HearingAids[[#This Row],[chargerPrice]]</f>
        <v>7378</v>
      </c>
      <c r="D47" s="39">
        <v>3689</v>
      </c>
      <c r="E47" s="52" t="s">
        <v>538</v>
      </c>
      <c r="F47" s="39">
        <f>HearingAids[[#This Row],[haMSRP]]-((HearingAids[[#This Row],[ListPriceBinural]]-HearingAids[[#This Row],[chargerPrice]])/2)</f>
        <v>94</v>
      </c>
      <c r="G47" s="39">
        <f>HearingAids[[#This Row],[haMSRP]]-HearingAids[[#This Row],[Discount Amount 1]]</f>
        <v>3595</v>
      </c>
      <c r="H47" s="2">
        <v>7190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3595</v>
      </c>
      <c r="L47" s="2">
        <v>7190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 hidden="1">
      <c r="A48" s="3" t="s">
        <v>55</v>
      </c>
      <c r="B48" s="47" t="s">
        <v>535</v>
      </c>
      <c r="C48" s="57">
        <f>(HearingAids[[#This Row],[haMSRP]]*2)+HearingAids[[#This Row],[chargerPrice]]</f>
        <v>9358</v>
      </c>
      <c r="D48" s="39">
        <v>4679</v>
      </c>
      <c r="E48" s="52" t="s">
        <v>538</v>
      </c>
      <c r="F48" s="39">
        <f>HearingAids[[#This Row],[haMSRP]]-((HearingAids[[#This Row],[ListPriceBinural]]-HearingAids[[#This Row],[chargerPrice]])/2)</f>
        <v>354</v>
      </c>
      <c r="G48" s="39">
        <f>HearingAids[[#This Row],[haMSRP]]-HearingAids[[#This Row],[Discount Amount 1]]</f>
        <v>4325</v>
      </c>
      <c r="H48" s="2">
        <v>8650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4325</v>
      </c>
      <c r="L48" s="2">
        <v>8650</v>
      </c>
      <c r="M48" s="2"/>
      <c r="N48" s="2"/>
      <c r="O48" s="2"/>
      <c r="P48" s="40"/>
      <c r="Q48" s="15">
        <v>1</v>
      </c>
      <c r="R48" s="2" t="s">
        <v>16</v>
      </c>
      <c r="S48" s="2">
        <v>0</v>
      </c>
      <c r="T48" s="10" t="s">
        <v>10</v>
      </c>
      <c r="U48" s="7">
        <v>0</v>
      </c>
      <c r="V48" s="12" t="s">
        <v>11</v>
      </c>
      <c r="Y48" s="25"/>
      <c r="Z48" s="25"/>
      <c r="AA48" s="25"/>
      <c r="AB48"/>
      <c r="AC48"/>
      <c r="AD48"/>
      <c r="AE48"/>
    </row>
    <row r="49" spans="1:32" ht="12.75" hidden="1">
      <c r="A49" s="3" t="s">
        <v>56</v>
      </c>
      <c r="B49" s="47" t="s">
        <v>536</v>
      </c>
      <c r="C49" s="57">
        <f>(HearingAids[[#This Row],[haMSRP]]*2)+HearingAids[[#This Row],[chargerPrice]]</f>
        <v>9358</v>
      </c>
      <c r="D49" s="39">
        <v>4679</v>
      </c>
      <c r="E49" s="52" t="s">
        <v>538</v>
      </c>
      <c r="F49" s="39">
        <f>HearingAids[[#This Row],[haMSRP]]-((HearingAids[[#This Row],[ListPriceBinural]]-HearingAids[[#This Row],[chargerPrice]])/2)</f>
        <v>354</v>
      </c>
      <c r="G49" s="39">
        <f>HearingAids[[#This Row],[haMSRP]]-HearingAids[[#This Row],[Discount Amount 1]]</f>
        <v>4325</v>
      </c>
      <c r="H49" s="2">
        <v>8650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4325</v>
      </c>
      <c r="L49" s="2">
        <v>8650</v>
      </c>
      <c r="M49" s="2"/>
      <c r="N49" s="2"/>
      <c r="O49" s="2"/>
      <c r="P49" s="40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2" t="s">
        <v>11</v>
      </c>
      <c r="Y49" s="25"/>
      <c r="Z49" s="25"/>
      <c r="AA49" s="25"/>
      <c r="AB49"/>
      <c r="AC49"/>
      <c r="AD49"/>
      <c r="AE49"/>
    </row>
    <row r="50" spans="1:32" ht="12.75" hidden="1">
      <c r="A50" s="38" t="s">
        <v>501</v>
      </c>
      <c r="B50" s="47" t="s">
        <v>508</v>
      </c>
      <c r="C50" s="57">
        <f>(HearingAids[[#This Row],[haMSRP]]*2)+HearingAids[[#This Row],[chargerPrice]]</f>
        <v>3718</v>
      </c>
      <c r="D50" s="39">
        <v>1859</v>
      </c>
      <c r="E50" s="52" t="s">
        <v>538</v>
      </c>
      <c r="F50" s="39">
        <f>HearingAids[[#This Row],[haMSRP]]-((HearingAids[[#This Row],[ListPriceBinural]]-HearingAids[[#This Row],[chargerPrice]])/2)</f>
        <v>309</v>
      </c>
      <c r="G50" s="39">
        <f>HearingAids[[#This Row],[haMSRP]]-HearingAids[[#This Row],[Discount Amount 1]]</f>
        <v>1550</v>
      </c>
      <c r="H50" s="40">
        <v>3100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1550</v>
      </c>
      <c r="L50" s="40">
        <v>3100</v>
      </c>
      <c r="M50" s="40"/>
      <c r="N50" s="40"/>
      <c r="O50" s="40"/>
      <c r="P50" s="40"/>
      <c r="Q50" s="41">
        <v>1</v>
      </c>
      <c r="R50" s="2" t="s">
        <v>16</v>
      </c>
      <c r="S50" s="40">
        <v>0</v>
      </c>
      <c r="T50" s="43"/>
      <c r="U50" s="43"/>
      <c r="V50" s="39"/>
      <c r="Y50" s="25"/>
      <c r="Z50" s="25"/>
      <c r="AA50" s="25"/>
      <c r="AB50"/>
      <c r="AC50"/>
      <c r="AD50"/>
      <c r="AE50"/>
    </row>
    <row r="51" spans="1:32" ht="12.75" hidden="1">
      <c r="A51" s="38" t="s">
        <v>500</v>
      </c>
      <c r="B51" s="47" t="s">
        <v>507</v>
      </c>
      <c r="C51" s="57">
        <f>(HearingAids[[#This Row],[haMSRP]]*2)+HearingAids[[#This Row],[chargerPrice]]</f>
        <v>4878</v>
      </c>
      <c r="D51" s="39">
        <v>2339</v>
      </c>
      <c r="E51" s="52" t="s">
        <v>538</v>
      </c>
      <c r="F51" s="39">
        <f>HearingAids[[#This Row],[haMSRP]]-((HearingAids[[#This Row],[ListPriceBinural]]-HearingAids[[#This Row],[chargerPrice]])/2)</f>
        <v>689</v>
      </c>
      <c r="G51" s="39">
        <f>HearingAids[[#This Row],[haMSRP]]-HearingAids[[#This Row],[Discount Amount 1]]</f>
        <v>1650</v>
      </c>
      <c r="H51" s="22">
        <v>3500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1650</v>
      </c>
      <c r="L51" s="22">
        <v>3500</v>
      </c>
      <c r="M51" s="22"/>
      <c r="N51" s="22"/>
      <c r="O51" s="22"/>
      <c r="P51" s="40"/>
      <c r="Q51" s="41">
        <v>1</v>
      </c>
      <c r="R51" s="40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 hidden="1">
      <c r="A52" s="38" t="s">
        <v>496</v>
      </c>
      <c r="B52" s="46" t="s">
        <v>503</v>
      </c>
      <c r="C52" s="59">
        <f>(HearingAids[[#This Row],[haMSRP]]*2)+HearingAids[[#This Row],[chargerPrice]]</f>
        <v>11888</v>
      </c>
      <c r="D52" s="39">
        <v>5819</v>
      </c>
      <c r="E52" s="52" t="s">
        <v>538</v>
      </c>
      <c r="F52" s="39">
        <f>HearingAids[[#This Row],[haMSRP]]-((HearingAids[[#This Row],[ListPriceBinural]]-HearingAids[[#This Row],[chargerPrice]])/2)</f>
        <v>1019</v>
      </c>
      <c r="G52" s="39">
        <f>HearingAids[[#This Row],[haMSRP]]-HearingAids[[#This Row],[Discount Amount 1]]</f>
        <v>4800</v>
      </c>
      <c r="H52" s="2">
        <v>9850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4800</v>
      </c>
      <c r="L52" s="2">
        <v>9850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 hidden="1">
      <c r="A53" s="38" t="s">
        <v>499</v>
      </c>
      <c r="B53" s="47" t="s">
        <v>506</v>
      </c>
      <c r="C53" s="57">
        <f>(HearingAids[[#This Row],[haMSRP]]*2)+HearingAids[[#This Row],[chargerPrice]]</f>
        <v>6258</v>
      </c>
      <c r="D53" s="39">
        <v>3029</v>
      </c>
      <c r="E53" s="52" t="s">
        <v>538</v>
      </c>
      <c r="F53" s="39">
        <f>HearingAids[[#This Row],[haMSRP]]-((HearingAids[[#This Row],[ListPriceBinural]]-HearingAids[[#This Row],[chargerPrice]])/2)</f>
        <v>804</v>
      </c>
      <c r="G53" s="39">
        <f>HearingAids[[#This Row],[haMSRP]]-HearingAids[[#This Row],[Discount Amount 1]]</f>
        <v>2225</v>
      </c>
      <c r="H53" s="40">
        <v>4650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2225</v>
      </c>
      <c r="L53" s="40">
        <v>4650</v>
      </c>
      <c r="M53" s="40"/>
      <c r="N53" s="40"/>
      <c r="O53" s="40"/>
      <c r="P53" s="40"/>
      <c r="Q53" s="41">
        <v>1</v>
      </c>
      <c r="R53" s="98" t="s">
        <v>9</v>
      </c>
      <c r="S53" s="40">
        <v>200</v>
      </c>
      <c r="T53" s="43"/>
      <c r="U53" s="43"/>
      <c r="V53" s="39"/>
      <c r="W53" s="2"/>
      <c r="Y53" s="25"/>
      <c r="Z53" s="25"/>
      <c r="AA53" s="25"/>
      <c r="AB53"/>
      <c r="AC53"/>
      <c r="AD53"/>
      <c r="AE53"/>
    </row>
    <row r="54" spans="1:32" ht="12.75" hidden="1">
      <c r="A54" s="38" t="s">
        <v>497</v>
      </c>
      <c r="B54" s="46" t="s">
        <v>505</v>
      </c>
      <c r="C54" s="59">
        <f>(HearingAids[[#This Row],[haMSRP]]*2)+HearingAids[[#This Row],[chargerPrice]]</f>
        <v>9608</v>
      </c>
      <c r="D54" s="39">
        <v>4679</v>
      </c>
      <c r="E54" s="52" t="s">
        <v>538</v>
      </c>
      <c r="F54" s="39">
        <f>HearingAids[[#This Row],[haMSRP]]-((HearingAids[[#This Row],[ListPriceBinural]]-HearingAids[[#This Row],[chargerPrice]])/2)</f>
        <v>479</v>
      </c>
      <c r="G54" s="39">
        <f>HearingAids[[#This Row],[haMSRP]]-HearingAids[[#This Row],[Discount Amount 1]]</f>
        <v>4200</v>
      </c>
      <c r="H54" s="2">
        <v>8650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4200</v>
      </c>
      <c r="L54" s="2">
        <v>8650</v>
      </c>
      <c r="M54" s="2"/>
      <c r="N54" s="2"/>
      <c r="O54" s="2"/>
      <c r="P54" s="40"/>
      <c r="Q54" s="41">
        <v>1</v>
      </c>
      <c r="R54" s="40" t="s">
        <v>13</v>
      </c>
      <c r="S54" s="40">
        <v>250</v>
      </c>
      <c r="T54" s="42" t="s">
        <v>14</v>
      </c>
      <c r="U54" s="43">
        <v>0</v>
      </c>
      <c r="V54" s="39" t="s">
        <v>11</v>
      </c>
      <c r="W54" s="2"/>
      <c r="Y54" s="25"/>
      <c r="Z54" s="25"/>
      <c r="AA54" s="25"/>
      <c r="AB54"/>
      <c r="AC54"/>
      <c r="AD54"/>
      <c r="AE54"/>
    </row>
    <row r="55" spans="1:32" ht="12.75" hidden="1">
      <c r="A55" s="38" t="s">
        <v>498</v>
      </c>
      <c r="B55" s="46" t="s">
        <v>504</v>
      </c>
      <c r="C55" s="59">
        <f>(HearingAids[[#This Row],[haMSRP]]*2)+HearingAids[[#This Row],[chargerPrice]]</f>
        <v>7628</v>
      </c>
      <c r="D55" s="39">
        <v>3689</v>
      </c>
      <c r="E55" s="52" t="s">
        <v>538</v>
      </c>
      <c r="F55" s="39">
        <f>HearingAids[[#This Row],[haMSRP]]-((HearingAids[[#This Row],[ListPriceBinural]]-HearingAids[[#This Row],[chargerPrice]])/2)</f>
        <v>219</v>
      </c>
      <c r="G55" s="39">
        <f>HearingAids[[#This Row],[haMSRP]]-HearingAids[[#This Row],[Discount Amount 1]]</f>
        <v>3470</v>
      </c>
      <c r="H55" s="2">
        <v>7190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3470</v>
      </c>
      <c r="L55" s="2">
        <v>7190</v>
      </c>
      <c r="M55" s="2"/>
      <c r="N55" s="2"/>
      <c r="O55" s="2"/>
      <c r="P55" s="40"/>
      <c r="Q55" s="41">
        <v>1</v>
      </c>
      <c r="R55" s="40" t="s">
        <v>13</v>
      </c>
      <c r="S55" s="40">
        <v>250</v>
      </c>
      <c r="T55" s="42" t="s">
        <v>14</v>
      </c>
      <c r="U55" s="43">
        <v>0</v>
      </c>
      <c r="V55" s="39" t="s">
        <v>11</v>
      </c>
      <c r="W55" s="2"/>
      <c r="Y55" s="25"/>
      <c r="Z55" s="25"/>
      <c r="AA55" s="25"/>
      <c r="AB55"/>
      <c r="AC55"/>
      <c r="AD55"/>
      <c r="AE55"/>
    </row>
    <row r="56" spans="1:32" ht="12.75" hidden="1">
      <c r="A56" s="3" t="s">
        <v>42</v>
      </c>
      <c r="B56" s="3" t="s">
        <v>67</v>
      </c>
      <c r="C56" s="60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40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26</v>
      </c>
      <c r="U56" s="7">
        <v>0</v>
      </c>
      <c r="V56" s="12" t="s">
        <v>11</v>
      </c>
      <c r="W56" s="2"/>
      <c r="Y56" s="25"/>
      <c r="Z56" s="25"/>
      <c r="AA56" s="25"/>
      <c r="AB56"/>
      <c r="AC56"/>
      <c r="AD56"/>
      <c r="AE56"/>
    </row>
    <row r="57" spans="1:32" ht="12.75" hidden="1">
      <c r="A57" s="3" t="s">
        <v>43</v>
      </c>
      <c r="B57" s="47" t="s">
        <v>509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40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26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2.75" hidden="1">
      <c r="A58" s="3" t="s">
        <v>29</v>
      </c>
      <c r="B58" s="47" t="s">
        <v>521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40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17</v>
      </c>
      <c r="U58" s="7">
        <v>0</v>
      </c>
      <c r="V58" s="2" t="s">
        <v>18</v>
      </c>
      <c r="W58" s="2"/>
      <c r="Y58" s="25"/>
      <c r="Z58" s="25"/>
      <c r="AA58" s="25"/>
      <c r="AB58"/>
      <c r="AC58"/>
      <c r="AD58"/>
      <c r="AE58"/>
    </row>
    <row r="59" spans="1:32" ht="12.75" hidden="1">
      <c r="A59" s="3" t="s">
        <v>30</v>
      </c>
      <c r="B59" s="47" t="s">
        <v>522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40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17</v>
      </c>
      <c r="U59" s="7">
        <v>0</v>
      </c>
      <c r="V59" s="2" t="s">
        <v>18</v>
      </c>
      <c r="W59" s="2"/>
      <c r="Y59" s="25"/>
      <c r="Z59" s="25"/>
      <c r="AA59" s="25"/>
      <c r="AB59"/>
      <c r="AC59"/>
      <c r="AD59"/>
      <c r="AE59"/>
    </row>
    <row r="60" spans="1:32" ht="12.75" hidden="1">
      <c r="A60" s="3" t="s">
        <v>31</v>
      </c>
      <c r="B60" s="47" t="s">
        <v>523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40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10</v>
      </c>
      <c r="U60" s="7">
        <v>0</v>
      </c>
      <c r="V60" s="12" t="s">
        <v>11</v>
      </c>
      <c r="W60" s="2"/>
      <c r="Y60" s="25"/>
      <c r="Z60" s="25"/>
      <c r="AA60" s="25"/>
      <c r="AB60"/>
      <c r="AC60"/>
      <c r="AD60"/>
      <c r="AE60"/>
    </row>
    <row r="61" spans="1:32" ht="12.75" hidden="1">
      <c r="A61" s="3" t="s">
        <v>32</v>
      </c>
      <c r="B61" s="47" t="s">
        <v>524</v>
      </c>
      <c r="C61" s="57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40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10</v>
      </c>
      <c r="U61" s="7">
        <v>0</v>
      </c>
      <c r="V61" s="12" t="s">
        <v>11</v>
      </c>
      <c r="W61" s="2"/>
      <c r="Y61" s="25"/>
      <c r="Z61" s="25"/>
      <c r="AA61" s="25"/>
      <c r="AB61"/>
      <c r="AC61"/>
      <c r="AD61"/>
      <c r="AE61"/>
    </row>
    <row r="62" spans="1:32" ht="12.75" hidden="1">
      <c r="A62" s="3" t="s">
        <v>38</v>
      </c>
      <c r="B62" s="47" t="s">
        <v>515</v>
      </c>
      <c r="C62" s="57">
        <f>(HearingAids[[#This Row],[haMSRP]]*2)+HearingAids[[#This Row],[chargerPrice]]</f>
        <v>3920</v>
      </c>
      <c r="D62" s="8">
        <v>1960</v>
      </c>
      <c r="E62" s="52" t="s">
        <v>538</v>
      </c>
      <c r="F62" s="39">
        <f>HearingAids[[#This Row],[haMSRP]]-((HearingAids[[#This Row],[ListPriceBinural]]-HearingAids[[#This Row],[chargerPrice]])/2)</f>
        <v>410</v>
      </c>
      <c r="G62" s="39">
        <f>HearingAids[[#This Row],[haMSRP]]-HearingAids[[#This Row],[Discount Amount 1]]</f>
        <v>1550</v>
      </c>
      <c r="H62" s="40">
        <v>3100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40">
        <v>3100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12</v>
      </c>
      <c r="U62" s="7">
        <v>0</v>
      </c>
      <c r="V62" s="2"/>
      <c r="W62" s="2"/>
      <c r="Y62" s="25"/>
      <c r="Z62" s="25"/>
      <c r="AA62" s="25"/>
      <c r="AB62" s="21"/>
      <c r="AD62" s="25"/>
      <c r="AE62" s="25"/>
      <c r="AF62" s="25"/>
    </row>
    <row r="63" spans="1:32" ht="12.75" hidden="1">
      <c r="A63" s="3" t="s">
        <v>40</v>
      </c>
      <c r="B63" s="47" t="s">
        <v>518</v>
      </c>
      <c r="C63" s="57">
        <f>(HearingAids[[#This Row],[haMSRP]]*2)+HearingAids[[#This Row],[chargerPrice]]</f>
        <v>3920</v>
      </c>
      <c r="D63" s="8">
        <v>1960</v>
      </c>
      <c r="E63" s="52" t="s">
        <v>538</v>
      </c>
      <c r="F63" s="39">
        <f>HearingAids[[#This Row],[haMSRP]]-((HearingAids[[#This Row],[ListPriceBinural]]-HearingAids[[#This Row],[chargerPrice]])/2)</f>
        <v>410</v>
      </c>
      <c r="G63" s="39">
        <f>HearingAids[[#This Row],[haMSRP]]-HearingAids[[#This Row],[Discount Amount 1]]</f>
        <v>1550</v>
      </c>
      <c r="H63" s="40">
        <v>3100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40">
        <v>3100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12</v>
      </c>
      <c r="U63" s="7">
        <v>0</v>
      </c>
      <c r="V63" s="2"/>
      <c r="W63" s="2"/>
      <c r="Y63" s="25"/>
      <c r="Z63" s="25"/>
      <c r="AA63" s="25"/>
      <c r="AB63" s="21"/>
      <c r="AD63" s="25"/>
      <c r="AE63" s="25"/>
      <c r="AF63" s="25"/>
    </row>
    <row r="64" spans="1:32" ht="12.75" hidden="1">
      <c r="A64" s="3" t="s">
        <v>44</v>
      </c>
      <c r="B64" s="3" t="s">
        <v>68</v>
      </c>
      <c r="C64" s="60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40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2"/>
      <c r="Y64" s="25"/>
      <c r="Z64" s="25"/>
      <c r="AA64" s="25"/>
      <c r="AD64" s="25"/>
      <c r="AE64" s="25"/>
      <c r="AF64" s="25"/>
    </row>
    <row r="65" spans="1:32" ht="12.75" hidden="1">
      <c r="A65" s="3" t="s">
        <v>406</v>
      </c>
      <c r="B65" s="3" t="s">
        <v>407</v>
      </c>
      <c r="C65" s="60">
        <f>(HearingAids[[#This Row],[haMSRP]]*2)+HearingAids[[#This Row],[chargerPrice]]</f>
        <v>4890</v>
      </c>
      <c r="D65" s="22">
        <v>2345</v>
      </c>
      <c r="E65" s="52" t="s">
        <v>538</v>
      </c>
      <c r="F65" s="39">
        <f>HearingAids[[#This Row],[haMSRP]]-((HearingAids[[#This Row],[ListPriceBinural]]-HearingAids[[#This Row],[chargerPrice]])/2)</f>
        <v>695</v>
      </c>
      <c r="G65" s="39">
        <f>HearingAids[[#This Row],[haMSRP]]-HearingAids[[#This Row],[Discount Amount 1]]</f>
        <v>1650</v>
      </c>
      <c r="H65" s="40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1650</v>
      </c>
      <c r="L65" s="40">
        <v>3500</v>
      </c>
      <c r="M65" s="40"/>
      <c r="N65" s="40"/>
      <c r="O65" s="40"/>
      <c r="P65" s="40"/>
      <c r="Q65" s="23">
        <v>1</v>
      </c>
      <c r="R65" s="22" t="s">
        <v>9</v>
      </c>
      <c r="S65" s="22">
        <v>200</v>
      </c>
      <c r="T65" s="24" t="s">
        <v>26</v>
      </c>
      <c r="U65" s="25">
        <v>0</v>
      </c>
      <c r="V65" s="25" t="s">
        <v>11</v>
      </c>
      <c r="W65" s="7"/>
      <c r="Y65" s="25"/>
      <c r="Z65" s="25"/>
      <c r="AA65" s="25"/>
      <c r="AD65" s="25"/>
      <c r="AE65" s="25"/>
      <c r="AF65" s="25"/>
    </row>
    <row r="66" spans="1:32" ht="12.75" hidden="1">
      <c r="A66" s="3" t="s">
        <v>45</v>
      </c>
      <c r="B66" s="47" t="s">
        <v>510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40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26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2" ht="12.75" hidden="1">
      <c r="A67" s="3" t="s">
        <v>33</v>
      </c>
      <c r="B67" s="47" t="s">
        <v>525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40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17</v>
      </c>
      <c r="U67" s="7">
        <v>0</v>
      </c>
      <c r="V67" s="2" t="s">
        <v>18</v>
      </c>
      <c r="W67" s="7"/>
      <c r="Y67" s="25"/>
      <c r="Z67" s="25"/>
      <c r="AA67" s="25"/>
      <c r="AB67"/>
      <c r="AC67"/>
      <c r="AD67"/>
      <c r="AE67"/>
    </row>
    <row r="68" spans="1:32" ht="12.75" hidden="1">
      <c r="A68" s="3" t="s">
        <v>34</v>
      </c>
      <c r="B68" s="47" t="s">
        <v>526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40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17</v>
      </c>
      <c r="U68" s="7">
        <v>0</v>
      </c>
      <c r="V68" s="2" t="s">
        <v>18</v>
      </c>
      <c r="W68" s="7"/>
      <c r="Y68" s="25"/>
      <c r="Z68" s="25"/>
      <c r="AA68" s="25"/>
      <c r="AB68"/>
      <c r="AC68"/>
      <c r="AD68"/>
      <c r="AE68"/>
    </row>
    <row r="69" spans="1:32" ht="12.75" hidden="1">
      <c r="A69" s="3" t="s">
        <v>35</v>
      </c>
      <c r="B69" s="47" t="s">
        <v>527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40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10</v>
      </c>
      <c r="U69" s="7">
        <v>0</v>
      </c>
      <c r="V69" s="12" t="s">
        <v>11</v>
      </c>
      <c r="W69" s="7"/>
      <c r="Y69" s="25"/>
      <c r="Z69" s="25"/>
      <c r="AA69" s="25"/>
      <c r="AB69"/>
      <c r="AC69"/>
      <c r="AD69"/>
      <c r="AE69"/>
    </row>
    <row r="70" spans="1:32" ht="12.75" hidden="1">
      <c r="A70" s="3" t="s">
        <v>36</v>
      </c>
      <c r="B70" s="47" t="s">
        <v>528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40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10</v>
      </c>
      <c r="U70" s="7">
        <v>0</v>
      </c>
      <c r="V70" s="12" t="s">
        <v>11</v>
      </c>
      <c r="W70" s="7"/>
      <c r="Y70" s="25"/>
      <c r="Z70" s="25"/>
      <c r="AA70" s="25"/>
      <c r="AB70"/>
      <c r="AC70"/>
      <c r="AD70"/>
      <c r="AE70"/>
    </row>
    <row r="71" spans="1:32" ht="12.75" hidden="1">
      <c r="A71" s="3" t="s">
        <v>37</v>
      </c>
      <c r="B71" s="47" t="s">
        <v>512</v>
      </c>
      <c r="C71" s="57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40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2" ht="12.75" hidden="1">
      <c r="A72" s="3" t="s">
        <v>39</v>
      </c>
      <c r="B72" s="47" t="s">
        <v>516</v>
      </c>
      <c r="C72" s="57">
        <f>(HearingAids[[#This Row],[haMSRP]]*2)+HearingAids[[#This Row],[chargerPrice]]</f>
        <v>4690</v>
      </c>
      <c r="D72" s="8">
        <v>2345</v>
      </c>
      <c r="E72" s="52" t="s">
        <v>538</v>
      </c>
      <c r="F72" s="39">
        <f>HearingAids[[#This Row],[haMSRP]]-((HearingAids[[#This Row],[ListPriceBinural]]-HearingAids[[#This Row],[chargerPrice]])/2)</f>
        <v>595</v>
      </c>
      <c r="G72" s="39">
        <f>HearingAids[[#This Row],[haMSRP]]-HearingAids[[#This Row],[Discount Amount 1]]</f>
        <v>1750</v>
      </c>
      <c r="H72" s="40">
        <v>3500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40">
        <v>3500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12</v>
      </c>
      <c r="U72" s="7">
        <v>0</v>
      </c>
      <c r="V72" s="2"/>
      <c r="W72" s="7"/>
      <c r="Y72" s="25"/>
      <c r="Z72" s="25"/>
      <c r="AA72" s="25"/>
      <c r="AB72"/>
      <c r="AC72"/>
      <c r="AD72"/>
      <c r="AE72"/>
    </row>
    <row r="73" spans="1:32" ht="12.75" hidden="1">
      <c r="A73" s="3" t="s">
        <v>41</v>
      </c>
      <c r="B73" s="47" t="s">
        <v>519</v>
      </c>
      <c r="C73" s="57">
        <f>(HearingAids[[#This Row],[haMSRP]]*2)+HearingAids[[#This Row],[chargerPrice]]</f>
        <v>4690</v>
      </c>
      <c r="D73" s="8">
        <v>2345</v>
      </c>
      <c r="E73" s="52" t="s">
        <v>538</v>
      </c>
      <c r="F73" s="39">
        <f>HearingAids[[#This Row],[haMSRP]]-((HearingAids[[#This Row],[ListPriceBinural]]-HearingAids[[#This Row],[chargerPrice]])/2)</f>
        <v>595</v>
      </c>
      <c r="G73" s="39">
        <f>HearingAids[[#This Row],[haMSRP]]-HearingAids[[#This Row],[Discount Amount 1]]</f>
        <v>1750</v>
      </c>
      <c r="H73" s="40">
        <v>3500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40">
        <v>3500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12</v>
      </c>
      <c r="U73" s="7">
        <v>0</v>
      </c>
      <c r="V73" s="2"/>
      <c r="W73" s="7"/>
      <c r="Y73" s="25"/>
      <c r="Z73" s="25"/>
      <c r="AA73" s="25"/>
      <c r="AB73"/>
      <c r="AC73"/>
      <c r="AD73"/>
      <c r="AE73"/>
    </row>
    <row r="74" spans="1:32" ht="12.75" hidden="1">
      <c r="A74" s="3" t="s">
        <v>25</v>
      </c>
      <c r="B74" s="3" t="s">
        <v>66</v>
      </c>
      <c r="C74" s="60">
        <f>(HearingAids[[#This Row],[haMSRP]]*2)+HearingAids[[#This Row],[chargerPrice]]</f>
        <v>6258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804</v>
      </c>
      <c r="G74" s="39">
        <f>HearingAids[[#This Row],[haMSRP]]-HearingAids[[#This Row],[Discount Amount 1]]</f>
        <v>2225</v>
      </c>
      <c r="H74" s="40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2225</v>
      </c>
      <c r="L74" s="40">
        <v>4650</v>
      </c>
      <c r="M74" s="40"/>
      <c r="N74" s="40"/>
      <c r="O74" s="40"/>
      <c r="P74" s="40"/>
      <c r="Q74" s="15">
        <v>1</v>
      </c>
      <c r="R74" s="2" t="s">
        <v>9</v>
      </c>
      <c r="S74" s="2">
        <v>200</v>
      </c>
      <c r="T74" s="10" t="s">
        <v>26</v>
      </c>
      <c r="U74" s="7">
        <v>0</v>
      </c>
      <c r="V74" s="12" t="s">
        <v>11</v>
      </c>
      <c r="W74" s="7"/>
      <c r="Y74" s="25"/>
      <c r="Z74" s="25"/>
      <c r="AA74" s="25"/>
      <c r="AB74"/>
      <c r="AC74"/>
      <c r="AD74"/>
      <c r="AE74"/>
    </row>
    <row r="75" spans="1:32" ht="12.75" hidden="1">
      <c r="A75" s="3" t="s">
        <v>27</v>
      </c>
      <c r="B75" s="47" t="s">
        <v>511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40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26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2" ht="12.75" hidden="1">
      <c r="A76" s="3" t="s">
        <v>15</v>
      </c>
      <c r="B76" s="47" t="s">
        <v>529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40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17</v>
      </c>
      <c r="U76" s="7">
        <v>0</v>
      </c>
      <c r="V76" s="2" t="s">
        <v>18</v>
      </c>
      <c r="W76" s="7"/>
      <c r="Y76" s="25"/>
      <c r="Z76" s="25"/>
      <c r="AA76" s="25"/>
      <c r="AB76"/>
      <c r="AC76"/>
      <c r="AD76"/>
      <c r="AE76"/>
    </row>
    <row r="77" spans="1:32" ht="12.75" hidden="1">
      <c r="A77" s="3" t="s">
        <v>19</v>
      </c>
      <c r="B77" s="47" t="s">
        <v>530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40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17</v>
      </c>
      <c r="U77" s="7">
        <v>0</v>
      </c>
      <c r="V77" s="2" t="s">
        <v>18</v>
      </c>
      <c r="W77" s="7"/>
      <c r="Y77" s="25"/>
      <c r="Z77" s="25"/>
      <c r="AA77" s="25"/>
      <c r="AB77"/>
      <c r="AC77"/>
      <c r="AD77"/>
      <c r="AE77"/>
    </row>
    <row r="78" spans="1:32" ht="12.75" hidden="1">
      <c r="A78" s="3" t="s">
        <v>20</v>
      </c>
      <c r="B78" s="47" t="s">
        <v>531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40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10</v>
      </c>
      <c r="U78" s="7">
        <v>0</v>
      </c>
      <c r="V78" s="12" t="s">
        <v>11</v>
      </c>
      <c r="W78" s="7"/>
      <c r="Y78" s="25"/>
      <c r="Z78" s="25"/>
      <c r="AA78" s="25"/>
      <c r="AB78"/>
      <c r="AC78"/>
      <c r="AD78"/>
      <c r="AE78"/>
    </row>
    <row r="79" spans="1:32" ht="12.75" hidden="1">
      <c r="A79" s="3" t="s">
        <v>21</v>
      </c>
      <c r="B79" s="47" t="s">
        <v>537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40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10</v>
      </c>
      <c r="U79" s="7">
        <v>0</v>
      </c>
      <c r="V79" s="12" t="s">
        <v>11</v>
      </c>
      <c r="W79" s="7"/>
      <c r="Y79" s="25"/>
      <c r="Z79" s="25"/>
      <c r="AA79" s="25"/>
      <c r="AB79"/>
      <c r="AC79"/>
      <c r="AD79"/>
      <c r="AE79"/>
    </row>
    <row r="80" spans="1:32" ht="12.75" hidden="1">
      <c r="A80" s="3" t="s">
        <v>22</v>
      </c>
      <c r="B80" s="47" t="s">
        <v>513</v>
      </c>
      <c r="C80" s="57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40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 hidden="1">
      <c r="A81" s="3" t="s">
        <v>23</v>
      </c>
      <c r="B81" s="47" t="s">
        <v>514</v>
      </c>
      <c r="C81" s="57">
        <f>(HearingAids[[#This Row],[haMSRP]]*2)+HearingAids[[#This Row],[chargerPrice]]</f>
        <v>6058</v>
      </c>
      <c r="D81" s="39">
        <v>3029</v>
      </c>
      <c r="E81" s="52" t="s">
        <v>538</v>
      </c>
      <c r="F81" s="39">
        <f>HearingAids[[#This Row],[haMSRP]]-((HearingAids[[#This Row],[ListPriceBinural]]-HearingAids[[#This Row],[chargerPrice]])/2)</f>
        <v>704</v>
      </c>
      <c r="G81" s="39">
        <f>HearingAids[[#This Row],[haMSRP]]-HearingAids[[#This Row],[Discount Amount 1]]</f>
        <v>2325</v>
      </c>
      <c r="H81" s="40">
        <v>4650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2325</v>
      </c>
      <c r="L81" s="40">
        <v>4650</v>
      </c>
      <c r="M81" s="40"/>
      <c r="N81" s="40"/>
      <c r="O81" s="40"/>
      <c r="P81" s="40"/>
      <c r="Q81" s="15">
        <v>1</v>
      </c>
      <c r="R81" s="2" t="s">
        <v>16</v>
      </c>
      <c r="S81" s="2">
        <v>0</v>
      </c>
      <c r="T81" s="10" t="s">
        <v>12</v>
      </c>
      <c r="U81" s="7">
        <v>0</v>
      </c>
      <c r="V81" s="2"/>
      <c r="W81" s="7"/>
      <c r="Y81" s="25"/>
      <c r="Z81" s="25"/>
      <c r="AA81" s="25"/>
      <c r="AB81"/>
      <c r="AC81"/>
      <c r="AD81"/>
      <c r="AE81"/>
    </row>
    <row r="82" spans="1:31" ht="12.75" hidden="1">
      <c r="A82" s="3" t="s">
        <v>24</v>
      </c>
      <c r="B82" s="47" t="s">
        <v>517</v>
      </c>
      <c r="C82" s="57">
        <f>(HearingAids[[#This Row],[haMSRP]]*2)+HearingAids[[#This Row],[chargerPrice]]</f>
        <v>6058</v>
      </c>
      <c r="D82" s="39">
        <v>3029</v>
      </c>
      <c r="E82" s="52" t="s">
        <v>538</v>
      </c>
      <c r="F82" s="39">
        <f>HearingAids[[#This Row],[haMSRP]]-((HearingAids[[#This Row],[ListPriceBinural]]-HearingAids[[#This Row],[chargerPrice]])/2)</f>
        <v>704</v>
      </c>
      <c r="G82" s="39">
        <f>HearingAids[[#This Row],[haMSRP]]-HearingAids[[#This Row],[Discount Amount 1]]</f>
        <v>2325</v>
      </c>
      <c r="H82" s="40">
        <v>4650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2325</v>
      </c>
      <c r="L82" s="40">
        <v>4650</v>
      </c>
      <c r="M82" s="40"/>
      <c r="N82" s="40"/>
      <c r="O82" s="40"/>
      <c r="P82" s="40"/>
      <c r="Q82" s="15">
        <v>1</v>
      </c>
      <c r="R82" s="2" t="s">
        <v>16</v>
      </c>
      <c r="S82" s="2">
        <v>0</v>
      </c>
      <c r="T82" s="10" t="s">
        <v>12</v>
      </c>
      <c r="U82" s="7">
        <v>0</v>
      </c>
      <c r="V82" s="2"/>
      <c r="W82" s="7"/>
      <c r="Y82" s="25"/>
      <c r="Z82" s="25"/>
      <c r="AA82" s="25"/>
      <c r="AB82"/>
      <c r="AC82"/>
      <c r="AD82"/>
      <c r="AE82"/>
    </row>
    <row r="83" spans="1:31" ht="12.75" hidden="1">
      <c r="A83" s="3" t="s">
        <v>413</v>
      </c>
      <c r="B83" s="37" t="s">
        <v>416</v>
      </c>
      <c r="C83" s="58">
        <f>(HearingAids[[#This Row],[haMSRP]]*2)+HearingAids[[#This Row],[chargerPrice]]</f>
        <v>11888</v>
      </c>
      <c r="D83" s="39">
        <v>5819</v>
      </c>
      <c r="E83" s="52" t="s">
        <v>538</v>
      </c>
      <c r="F83" s="39">
        <f>HearingAids[[#This Row],[haMSRP]]-((HearingAids[[#This Row],[ListPriceBinural]]-HearingAids[[#This Row],[chargerPrice]])/2)</f>
        <v>1019</v>
      </c>
      <c r="G83" s="39">
        <f>HearingAids[[#This Row],[haMSRP]]-HearingAids[[#This Row],[Discount Amount 1]]</f>
        <v>4800</v>
      </c>
      <c r="H83" s="2">
        <v>9850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4800</v>
      </c>
      <c r="L83" s="2">
        <v>9850</v>
      </c>
      <c r="M83" s="2"/>
      <c r="N83" s="2"/>
      <c r="O83" s="2"/>
      <c r="P83" s="40"/>
      <c r="Q83" s="15">
        <v>1</v>
      </c>
      <c r="R83" s="2" t="s">
        <v>13</v>
      </c>
      <c r="S83" s="2">
        <v>250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 hidden="1">
      <c r="A84" s="3" t="s">
        <v>414</v>
      </c>
      <c r="B84" s="37" t="s">
        <v>417</v>
      </c>
      <c r="C84" s="58">
        <f>(HearingAids[[#This Row],[haMSRP]]*2)+HearingAids[[#This Row],[chargerPrice]]</f>
        <v>7628</v>
      </c>
      <c r="D84" s="39">
        <v>3689</v>
      </c>
      <c r="E84" s="52" t="s">
        <v>538</v>
      </c>
      <c r="F84" s="39">
        <f>HearingAids[[#This Row],[haMSRP]]-((HearingAids[[#This Row],[ListPriceBinural]]-HearingAids[[#This Row],[chargerPrice]])/2)</f>
        <v>219</v>
      </c>
      <c r="G84" s="39">
        <f>HearingAids[[#This Row],[haMSRP]]-HearingAids[[#This Row],[Discount Amount 1]]</f>
        <v>3470</v>
      </c>
      <c r="H84" s="2">
        <v>7190</v>
      </c>
      <c r="I84" s="45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3470</v>
      </c>
      <c r="L84" s="2">
        <v>7190</v>
      </c>
      <c r="M84" s="2"/>
      <c r="N84" s="2"/>
      <c r="O84" s="2"/>
      <c r="P84" s="40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 hidden="1">
      <c r="A85" s="3" t="s">
        <v>415</v>
      </c>
      <c r="B85" s="37" t="s">
        <v>418</v>
      </c>
      <c r="C85" s="58">
        <f>(HearingAids[[#This Row],[haMSRP]]*2)+HearingAids[[#This Row],[chargerPrice]]</f>
        <v>9608</v>
      </c>
      <c r="D85" s="39">
        <v>4679</v>
      </c>
      <c r="E85" s="52" t="s">
        <v>538</v>
      </c>
      <c r="F85" s="39">
        <f>HearingAids[[#This Row],[haMSRP]]-((HearingAids[[#This Row],[ListPriceBinural]]-HearingAids[[#This Row],[chargerPrice]])/2)</f>
        <v>479</v>
      </c>
      <c r="G85" s="39">
        <f>HearingAids[[#This Row],[haMSRP]]-HearingAids[[#This Row],[Discount Amount 1]]</f>
        <v>4200</v>
      </c>
      <c r="H85" s="2">
        <v>8650</v>
      </c>
      <c r="I85" s="45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4200</v>
      </c>
      <c r="L85" s="2">
        <v>8650</v>
      </c>
      <c r="M85" s="2"/>
      <c r="N85" s="2"/>
      <c r="O85" s="2"/>
      <c r="P85" s="40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 hidden="1">
      <c r="A86" s="38" t="s">
        <v>500</v>
      </c>
      <c r="B86" s="47" t="s">
        <v>507</v>
      </c>
      <c r="C86" s="57">
        <f>(HearingAids[[#This Row],[haMSRP]]*2)+HearingAids[[#This Row],[chargerPrice]]</f>
        <v>4878</v>
      </c>
      <c r="D86" s="39">
        <v>2339</v>
      </c>
      <c r="E86" s="52" t="s">
        <v>538</v>
      </c>
      <c r="F86" s="39">
        <f>HearingAids[[#This Row],[haMSRP]]-((HearingAids[[#This Row],[ListPriceBinural]]-HearingAids[[#This Row],[chargerPrice]])/2)</f>
        <v>689</v>
      </c>
      <c r="G86" s="39">
        <f>HearingAids[[#This Row],[haMSRP]]-HearingAids[[#This Row],[Discount Amount 1]]</f>
        <v>1650</v>
      </c>
      <c r="H86" s="22">
        <v>3500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55</v>
      </c>
      <c r="K86" s="2">
        <f>HearingAids[[#This Row],[HAListPrice]]-HearingAids[[#This Row],[Discount Amount 2]]</f>
        <v>1595</v>
      </c>
      <c r="L86" s="2">
        <v>3390</v>
      </c>
      <c r="M86" s="2"/>
      <c r="N86" s="2"/>
      <c r="O86" s="2"/>
      <c r="P86" s="22"/>
      <c r="Q86" s="23">
        <v>1</v>
      </c>
      <c r="R86" s="22" t="s">
        <v>9</v>
      </c>
      <c r="S86" s="22">
        <v>200</v>
      </c>
      <c r="T86" s="24" t="s">
        <v>26</v>
      </c>
      <c r="U86" s="25">
        <v>0</v>
      </c>
      <c r="V86" s="25" t="s">
        <v>11</v>
      </c>
      <c r="W86" s="7"/>
      <c r="Y86" s="25"/>
      <c r="Z86" s="25"/>
      <c r="AA86" s="25"/>
      <c r="AB86"/>
      <c r="AC86"/>
      <c r="AD86"/>
      <c r="AE86"/>
    </row>
    <row r="87" spans="1:31" ht="12.75" hidden="1">
      <c r="A87" s="3" t="s">
        <v>413</v>
      </c>
      <c r="B87" s="37" t="s">
        <v>416</v>
      </c>
      <c r="C87" s="58">
        <f>(HearingAids[[#This Row],[haMSRP]]*2)+HearingAids[[#This Row],[chargerPrice]]</f>
        <v>11888</v>
      </c>
      <c r="D87" s="39">
        <v>5819</v>
      </c>
      <c r="E87" s="52" t="s">
        <v>538</v>
      </c>
      <c r="F87" s="39">
        <f>HearingAids[[#This Row],[haMSRP]]-((HearingAids[[#This Row],[ListPriceBinural]]-HearingAids[[#This Row],[chargerPrice]])/2)</f>
        <v>1019</v>
      </c>
      <c r="G87" s="39">
        <f>HearingAids[[#This Row],[haMSRP]]-HearingAids[[#This Row],[Discount Amount 1]]</f>
        <v>4800</v>
      </c>
      <c r="H87" s="2">
        <v>9850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1580</v>
      </c>
      <c r="K87" s="2">
        <f>HearingAids[[#This Row],[HAListPrice]]-HearingAids[[#This Row],[Discount Amount 2]]</f>
        <v>3220</v>
      </c>
      <c r="L87" s="2">
        <v>6690</v>
      </c>
      <c r="M87" s="2"/>
      <c r="N87" s="2"/>
      <c r="O87" s="2"/>
      <c r="P87" s="2"/>
      <c r="Q87" s="15">
        <v>1</v>
      </c>
      <c r="R87" s="2" t="s">
        <v>13</v>
      </c>
      <c r="S87" s="2">
        <v>250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 hidden="1">
      <c r="A88" s="3" t="s">
        <v>414</v>
      </c>
      <c r="B88" s="37" t="s">
        <v>417</v>
      </c>
      <c r="C88" s="58">
        <f>(HearingAids[[#This Row],[haMSRP]]*2)+HearingAids[[#This Row],[chargerPrice]]</f>
        <v>7628</v>
      </c>
      <c r="D88" s="39">
        <v>3689</v>
      </c>
      <c r="E88" s="52" t="s">
        <v>538</v>
      </c>
      <c r="F88" s="39">
        <f>HearingAids[[#This Row],[haMSRP]]-((HearingAids[[#This Row],[ListPriceBinural]]-HearingAids[[#This Row],[chargerPrice]])/2)</f>
        <v>219</v>
      </c>
      <c r="G88" s="39">
        <f>HearingAids[[#This Row],[haMSRP]]-HearingAids[[#This Row],[Discount Amount 1]]</f>
        <v>3470</v>
      </c>
      <c r="H88" s="2">
        <v>7190</v>
      </c>
      <c r="I88" s="44" t="s">
        <v>502</v>
      </c>
      <c r="J88" s="2">
        <f>(HearingAids[[#This Row],[haMSRP]]-HearingAids[[#This Row],[Discount Amount 1]])-(HearingAids[[#This Row],[haNetPriceBinural]]-HearingAids[[#This Row],[chargerPrice]])/2</f>
        <v>1150</v>
      </c>
      <c r="K88" s="2">
        <f>HearingAids[[#This Row],[HAListPrice]]-HearingAids[[#This Row],[Discount Amount 2]]</f>
        <v>2320</v>
      </c>
      <c r="L88" s="2">
        <v>4890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 hidden="1">
      <c r="A89" s="3" t="s">
        <v>415</v>
      </c>
      <c r="B89" s="3" t="s">
        <v>418</v>
      </c>
      <c r="C89" s="60">
        <f>(HearingAids[[#This Row],[haMSRP]]*2)+HearingAids[[#This Row],[chargerPrice]]</f>
        <v>9608</v>
      </c>
      <c r="D89" s="39">
        <v>4679</v>
      </c>
      <c r="E89" s="52" t="s">
        <v>538</v>
      </c>
      <c r="F89" s="39">
        <f>HearingAids[[#This Row],[haMSRP]]-((HearingAids[[#This Row],[ListPriceBinural]]-HearingAids[[#This Row],[chargerPrice]])/2)</f>
        <v>479</v>
      </c>
      <c r="G89" s="39">
        <f>HearingAids[[#This Row],[haMSRP]]-HearingAids[[#This Row],[Discount Amount 1]]</f>
        <v>4200</v>
      </c>
      <c r="H89" s="2">
        <v>8650</v>
      </c>
      <c r="I89" s="44" t="s">
        <v>502</v>
      </c>
      <c r="J89" s="2">
        <f>(HearingAids[[#This Row],[haMSRP]]-HearingAids[[#This Row],[Discount Amount 1]])-(HearingAids[[#This Row],[haNetPriceBinural]]-HearingAids[[#This Row],[chargerPrice]])/2</f>
        <v>1480</v>
      </c>
      <c r="K89" s="2">
        <f>HearingAids[[#This Row],[HAListPrice]]-HearingAids[[#This Row],[Discount Amount 2]]</f>
        <v>2720</v>
      </c>
      <c r="L89" s="2">
        <v>5690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 hidden="1">
      <c r="A90" s="38" t="s">
        <v>500</v>
      </c>
      <c r="B90" s="47" t="s">
        <v>507</v>
      </c>
      <c r="C90" s="57">
        <f>(HearingAids[[#This Row],[haMSRP]]*2)+HearingAids[[#This Row],[chargerPrice]]</f>
        <v>4878</v>
      </c>
      <c r="D90" s="39">
        <v>2339</v>
      </c>
      <c r="E90" s="52" t="s">
        <v>538</v>
      </c>
      <c r="F90" s="39">
        <f>HearingAids[[#This Row],[haMSRP]]-((HearingAids[[#This Row],[ListPriceBinural]]-HearingAids[[#This Row],[chargerPrice]])/2)</f>
        <v>689</v>
      </c>
      <c r="G90" s="39">
        <f>HearingAids[[#This Row],[haMSRP]]-HearingAids[[#This Row],[Discount Amount 1]]</f>
        <v>1650</v>
      </c>
      <c r="H90" s="22">
        <v>3500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55</v>
      </c>
      <c r="K90" s="2">
        <f>HearingAids[[#This Row],[HAListPrice]]-HearingAids[[#This Row],[Discount Amount 2]]</f>
        <v>1595</v>
      </c>
      <c r="L90" s="2">
        <v>3390</v>
      </c>
      <c r="M90" s="2"/>
      <c r="N90" s="2"/>
      <c r="O90" s="2"/>
      <c r="P90" s="22"/>
      <c r="Q90" s="23">
        <v>1</v>
      </c>
      <c r="R90" s="22" t="s">
        <v>9</v>
      </c>
      <c r="S90" s="22">
        <v>200</v>
      </c>
      <c r="T90" s="24" t="s">
        <v>26</v>
      </c>
      <c r="U90" s="25">
        <v>0</v>
      </c>
      <c r="V90" s="25" t="s">
        <v>11</v>
      </c>
      <c r="W90" s="7"/>
      <c r="Y90" s="25"/>
      <c r="Z90" s="25"/>
      <c r="AA90" s="25"/>
      <c r="AB90"/>
      <c r="AC90"/>
      <c r="AD90"/>
      <c r="AE90"/>
    </row>
    <row r="91" spans="1:31" ht="12.75" hidden="1">
      <c r="A91" s="3" t="s">
        <v>413</v>
      </c>
      <c r="B91" s="37" t="s">
        <v>416</v>
      </c>
      <c r="C91" s="58">
        <f>(HearingAids[[#This Row],[haMSRP]]*2)+HearingAids[[#This Row],[chargerPrice]]</f>
        <v>11888</v>
      </c>
      <c r="D91" s="39">
        <v>5819</v>
      </c>
      <c r="E91" s="52" t="s">
        <v>538</v>
      </c>
      <c r="F91" s="39">
        <f>HearingAids[[#This Row],[haMSRP]]-((HearingAids[[#This Row],[ListPriceBinural]]-HearingAids[[#This Row],[chargerPrice]])/2)</f>
        <v>1019</v>
      </c>
      <c r="G91" s="39">
        <f>HearingAids[[#This Row],[haMSRP]]-HearingAids[[#This Row],[Discount Amount 1]]</f>
        <v>4800</v>
      </c>
      <c r="H91" s="2">
        <v>9850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1580</v>
      </c>
      <c r="K91" s="2">
        <f>HearingAids[[#This Row],[HAListPrice]]-HearingAids[[#This Row],[Discount Amount 2]]</f>
        <v>3220</v>
      </c>
      <c r="L91" s="2">
        <v>6690</v>
      </c>
      <c r="M91" s="2"/>
      <c r="N91" s="2"/>
      <c r="O91" s="2"/>
      <c r="P91" s="2"/>
      <c r="Q91" s="15">
        <v>1</v>
      </c>
      <c r="R91" s="2" t="s">
        <v>13</v>
      </c>
      <c r="S91" s="2">
        <v>250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 hidden="1">
      <c r="A92" s="3" t="s">
        <v>414</v>
      </c>
      <c r="B92" s="3" t="s">
        <v>417</v>
      </c>
      <c r="C92" s="60">
        <f>(HearingAids[[#This Row],[haMSRP]]*2)+HearingAids[[#This Row],[chargerPrice]]</f>
        <v>7628</v>
      </c>
      <c r="D92" s="39">
        <v>3689</v>
      </c>
      <c r="E92" s="52" t="s">
        <v>538</v>
      </c>
      <c r="F92" s="39">
        <f>HearingAids[[#This Row],[haMSRP]]-((HearingAids[[#This Row],[ListPriceBinural]]-HearingAids[[#This Row],[chargerPrice]])/2)</f>
        <v>219</v>
      </c>
      <c r="G92" s="39">
        <f>HearingAids[[#This Row],[haMSRP]]-HearingAids[[#This Row],[Discount Amount 1]]</f>
        <v>3470</v>
      </c>
      <c r="H92" s="2">
        <v>7190</v>
      </c>
      <c r="I92" s="4" t="s">
        <v>47</v>
      </c>
      <c r="J92" s="2">
        <f>(HearingAids[[#This Row],[haMSRP]]-HearingAids[[#This Row],[Discount Amount 1]])-(HearingAids[[#This Row],[haNetPriceBinural]]-HearingAids[[#This Row],[chargerPrice]])/2</f>
        <v>1150</v>
      </c>
      <c r="K92" s="2">
        <f>HearingAids[[#This Row],[HAListPrice]]-HearingAids[[#This Row],[Discount Amount 2]]</f>
        <v>2320</v>
      </c>
      <c r="L92" s="2">
        <v>4890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2.75" hidden="1">
      <c r="A93" s="3" t="s">
        <v>415</v>
      </c>
      <c r="B93" s="3" t="s">
        <v>418</v>
      </c>
      <c r="C93" s="60">
        <f>(HearingAids[[#This Row],[haMSRP]]*2)+HearingAids[[#This Row],[chargerPrice]]</f>
        <v>9608</v>
      </c>
      <c r="D93" s="39">
        <v>4679</v>
      </c>
      <c r="E93" s="52" t="s">
        <v>538</v>
      </c>
      <c r="F93" s="39">
        <f>HearingAids[[#This Row],[haMSRP]]-((HearingAids[[#This Row],[ListPriceBinural]]-HearingAids[[#This Row],[chargerPrice]])/2)</f>
        <v>479</v>
      </c>
      <c r="G93" s="39">
        <f>HearingAids[[#This Row],[haMSRP]]-HearingAids[[#This Row],[Discount Amount 1]]</f>
        <v>4200</v>
      </c>
      <c r="H93" s="2">
        <v>8650</v>
      </c>
      <c r="I93" s="4" t="s">
        <v>47</v>
      </c>
      <c r="J93" s="2">
        <f>(HearingAids[[#This Row],[haMSRP]]-HearingAids[[#This Row],[Discount Amount 1]])-(HearingAids[[#This Row],[haNetPriceBinural]]-HearingAids[[#This Row],[chargerPrice]])/2</f>
        <v>1480</v>
      </c>
      <c r="K93" s="2">
        <f>HearingAids[[#This Row],[HAListPrice]]-HearingAids[[#This Row],[Discount Amount 2]]</f>
        <v>2720</v>
      </c>
      <c r="L93" s="2">
        <v>5690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 hidden="1">
      <c r="A94" s="38" t="s">
        <v>500</v>
      </c>
      <c r="B94" s="47" t="s">
        <v>507</v>
      </c>
      <c r="C94" s="57">
        <f>(HearingAids[[#This Row],[haMSRP]]*2)+HearingAids[[#This Row],[chargerPrice]]</f>
        <v>4878</v>
      </c>
      <c r="D94" s="39">
        <v>2339</v>
      </c>
      <c r="E94" s="52" t="s">
        <v>538</v>
      </c>
      <c r="F94" s="39">
        <f>HearingAids[[#This Row],[haMSRP]]-((HearingAids[[#This Row],[ListPriceBinural]]-HearingAids[[#This Row],[chargerPrice]])/2)</f>
        <v>689</v>
      </c>
      <c r="G94" s="39">
        <f>HearingAids[[#This Row],[haMSRP]]-HearingAids[[#This Row],[Discount Amount 1]]</f>
        <v>1650</v>
      </c>
      <c r="H94" s="22">
        <v>3500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55</v>
      </c>
      <c r="K94" s="2">
        <f>HearingAids[[#This Row],[HAListPrice]]-HearingAids[[#This Row],[Discount Amount 2]]</f>
        <v>1595</v>
      </c>
      <c r="L94" s="2">
        <v>3390</v>
      </c>
      <c r="M94" s="2"/>
      <c r="N94" s="2"/>
      <c r="O94" s="2"/>
      <c r="P94" s="22"/>
      <c r="Q94" s="23">
        <v>1</v>
      </c>
      <c r="R94" s="22" t="s">
        <v>9</v>
      </c>
      <c r="S94" s="22">
        <v>200</v>
      </c>
      <c r="T94" s="24" t="s">
        <v>26</v>
      </c>
      <c r="U94" s="25">
        <v>0</v>
      </c>
      <c r="V94" s="25" t="s">
        <v>11</v>
      </c>
      <c r="W94" s="7"/>
      <c r="Y94" s="25"/>
      <c r="Z94" s="25"/>
      <c r="AA94" s="25"/>
      <c r="AB94"/>
      <c r="AC94"/>
      <c r="AD94"/>
      <c r="AE94"/>
    </row>
    <row r="95" spans="1:31" ht="12.75" hidden="1">
      <c r="A95" s="3" t="s">
        <v>413</v>
      </c>
      <c r="B95" s="37" t="s">
        <v>416</v>
      </c>
      <c r="C95" s="58">
        <f>(HearingAids[[#This Row],[haMSRP]]*2)+HearingAids[[#This Row],[chargerPrice]]</f>
        <v>11888</v>
      </c>
      <c r="D95" s="39">
        <v>5819</v>
      </c>
      <c r="E95" s="52" t="s">
        <v>538</v>
      </c>
      <c r="F95" s="39">
        <f>HearingAids[[#This Row],[haMSRP]]-((HearingAids[[#This Row],[ListPriceBinural]]-HearingAids[[#This Row],[chargerPrice]])/2)</f>
        <v>1019</v>
      </c>
      <c r="G95" s="39">
        <f>HearingAids[[#This Row],[haMSRP]]-HearingAids[[#This Row],[Discount Amount 1]]</f>
        <v>4800</v>
      </c>
      <c r="H95" s="2">
        <v>9850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1580</v>
      </c>
      <c r="K95" s="2">
        <f>HearingAids[[#This Row],[HAListPrice]]-HearingAids[[#This Row],[Discount Amount 2]]</f>
        <v>3220</v>
      </c>
      <c r="L95" s="2">
        <v>6690</v>
      </c>
      <c r="M95" s="2"/>
      <c r="N95" s="2"/>
      <c r="O95" s="2"/>
      <c r="P95" s="2"/>
      <c r="Q95" s="15">
        <v>1</v>
      </c>
      <c r="R95" s="2" t="s">
        <v>13</v>
      </c>
      <c r="S95" s="2">
        <v>250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 hidden="1">
      <c r="A96" s="3" t="s">
        <v>414</v>
      </c>
      <c r="B96" s="3" t="s">
        <v>417</v>
      </c>
      <c r="C96" s="60">
        <f>(HearingAids[[#This Row],[haMSRP]]*2)+HearingAids[[#This Row],[chargerPrice]]</f>
        <v>7628</v>
      </c>
      <c r="D96" s="39">
        <v>3689</v>
      </c>
      <c r="E96" s="52" t="s">
        <v>538</v>
      </c>
      <c r="F96" s="39">
        <f>HearingAids[[#This Row],[haMSRP]]-((HearingAids[[#This Row],[ListPriceBinural]]-HearingAids[[#This Row],[chargerPrice]])/2)</f>
        <v>219</v>
      </c>
      <c r="G96" s="39">
        <f>HearingAids[[#This Row],[haMSRP]]-HearingAids[[#This Row],[Discount Amount 1]]</f>
        <v>3470</v>
      </c>
      <c r="H96" s="2">
        <v>7190</v>
      </c>
      <c r="I96" s="4" t="s">
        <v>48</v>
      </c>
      <c r="J96" s="2">
        <f>(HearingAids[[#This Row],[haMSRP]]-HearingAids[[#This Row],[Discount Amount 1]])-(HearingAids[[#This Row],[haNetPriceBinural]]-HearingAids[[#This Row],[chargerPrice]])/2</f>
        <v>1150</v>
      </c>
      <c r="K96" s="2">
        <f>HearingAids[[#This Row],[HAListPrice]]-HearingAids[[#This Row],[Discount Amount 2]]</f>
        <v>2320</v>
      </c>
      <c r="L96" s="2">
        <v>4890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W96" s="7"/>
      <c r="Y96" s="25"/>
      <c r="Z96" s="25"/>
      <c r="AA96" s="25"/>
      <c r="AB96"/>
      <c r="AC96"/>
      <c r="AD96"/>
      <c r="AE96"/>
    </row>
    <row r="97" spans="1:31" ht="12.75" hidden="1">
      <c r="A97" s="3" t="s">
        <v>415</v>
      </c>
      <c r="B97" s="3" t="s">
        <v>418</v>
      </c>
      <c r="C97" s="60">
        <f>(HearingAids[[#This Row],[haMSRP]]*2)+HearingAids[[#This Row],[chargerPrice]]</f>
        <v>9608</v>
      </c>
      <c r="D97" s="39">
        <v>4679</v>
      </c>
      <c r="E97" s="52" t="s">
        <v>538</v>
      </c>
      <c r="F97" s="39">
        <f>HearingAids[[#This Row],[haMSRP]]-((HearingAids[[#This Row],[ListPriceBinural]]-HearingAids[[#This Row],[chargerPrice]])/2)</f>
        <v>479</v>
      </c>
      <c r="G97" s="39">
        <f>HearingAids[[#This Row],[haMSRP]]-HearingAids[[#This Row],[Discount Amount 1]]</f>
        <v>4200</v>
      </c>
      <c r="H97" s="2">
        <v>8650</v>
      </c>
      <c r="I97" s="4" t="s">
        <v>48</v>
      </c>
      <c r="J97" s="2">
        <f>(HearingAids[[#This Row],[haMSRP]]-HearingAids[[#This Row],[Discount Amount 1]])-(HearingAids[[#This Row],[haNetPriceBinural]]-HearingAids[[#This Row],[chargerPrice]])/2</f>
        <v>1480</v>
      </c>
      <c r="K97" s="2">
        <f>HearingAids[[#This Row],[HAListPrice]]-HearingAids[[#This Row],[Discount Amount 2]]</f>
        <v>2720</v>
      </c>
      <c r="L97" s="2">
        <v>5690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W97" s="7"/>
      <c r="Y97" s="25"/>
      <c r="Z97" s="25"/>
      <c r="AA97" s="25"/>
      <c r="AB97"/>
      <c r="AC97"/>
      <c r="AD97"/>
      <c r="AE97"/>
    </row>
    <row r="98" spans="1:31" ht="12.75" hidden="1">
      <c r="A98" s="38" t="s">
        <v>500</v>
      </c>
      <c r="B98" s="47" t="s">
        <v>507</v>
      </c>
      <c r="C98" s="57">
        <f>(HearingAids[[#This Row],[haMSRP]]*2)+HearingAids[[#This Row],[chargerPrice]]</f>
        <v>4878</v>
      </c>
      <c r="D98" s="39">
        <v>2339</v>
      </c>
      <c r="E98" s="52" t="s">
        <v>538</v>
      </c>
      <c r="F98" s="39">
        <f>HearingAids[[#This Row],[haMSRP]]-((HearingAids[[#This Row],[ListPriceBinural]]-HearingAids[[#This Row],[chargerPrice]])/2)</f>
        <v>689</v>
      </c>
      <c r="G98" s="39">
        <f>HearingAids[[#This Row],[haMSRP]]-HearingAids[[#This Row],[Discount Amount 1]]</f>
        <v>1650</v>
      </c>
      <c r="H98" s="22">
        <v>3500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55</v>
      </c>
      <c r="K98" s="2">
        <f>HearingAids[[#This Row],[HAListPrice]]-HearingAids[[#This Row],[Discount Amount 2]]</f>
        <v>1595</v>
      </c>
      <c r="L98" s="2">
        <v>3390</v>
      </c>
      <c r="M98" s="2"/>
      <c r="N98" s="2"/>
      <c r="O98" s="2"/>
      <c r="P98" s="22"/>
      <c r="Q98" s="15">
        <v>1</v>
      </c>
      <c r="R98" s="2" t="s">
        <v>9</v>
      </c>
      <c r="S98" s="2">
        <v>200</v>
      </c>
      <c r="T98" s="10" t="s">
        <v>26</v>
      </c>
      <c r="U98" s="10">
        <v>0</v>
      </c>
      <c r="V98" s="8" t="s">
        <v>11</v>
      </c>
      <c r="Y98" s="25"/>
      <c r="Z98" s="25"/>
      <c r="AA98" s="25"/>
      <c r="AB98"/>
      <c r="AC98"/>
      <c r="AD98"/>
      <c r="AE98"/>
    </row>
    <row r="99" spans="1:31" ht="12.75" hidden="1">
      <c r="A99" s="3" t="s">
        <v>413</v>
      </c>
      <c r="B99" s="37" t="s">
        <v>416</v>
      </c>
      <c r="C99" s="58">
        <f>(HearingAids[[#This Row],[haMSRP]]*2)+HearingAids[[#This Row],[chargerPrice]]</f>
        <v>11888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1019</v>
      </c>
      <c r="G99" s="39">
        <f>HearingAids[[#This Row],[haMSRP]]-HearingAids[[#This Row],[Discount Amount 1]]</f>
        <v>4800</v>
      </c>
      <c r="H99" s="2">
        <v>9850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1580</v>
      </c>
      <c r="K99" s="2">
        <f>HearingAids[[#This Row],[HAListPrice]]-HearingAids[[#This Row],[Discount Amount 2]]</f>
        <v>3220</v>
      </c>
      <c r="L99" s="2">
        <v>6690</v>
      </c>
      <c r="M99" s="2"/>
      <c r="N99" s="2"/>
      <c r="O99" s="2"/>
      <c r="P99" s="2"/>
      <c r="Q99" s="15">
        <v>1</v>
      </c>
      <c r="R99" s="2" t="s">
        <v>13</v>
      </c>
      <c r="S99" s="2">
        <v>250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 hidden="1">
      <c r="A100" s="3" t="s">
        <v>414</v>
      </c>
      <c r="B100" s="3" t="s">
        <v>417</v>
      </c>
      <c r="C100" s="60">
        <f>(HearingAids[[#This Row],[haMSRP]]*2)+HearingAids[[#This Row],[chargerPrice]]</f>
        <v>7628</v>
      </c>
      <c r="D100" s="39">
        <v>3689</v>
      </c>
      <c r="E100" s="52" t="s">
        <v>538</v>
      </c>
      <c r="F100" s="39">
        <f>HearingAids[[#This Row],[haMSRP]]-((HearingAids[[#This Row],[ListPriceBinural]]-HearingAids[[#This Row],[chargerPrice]])/2)</f>
        <v>219</v>
      </c>
      <c r="G100" s="39">
        <f>HearingAids[[#This Row],[haMSRP]]-HearingAids[[#This Row],[Discount Amount 1]]</f>
        <v>3470</v>
      </c>
      <c r="H100" s="2">
        <v>7190</v>
      </c>
      <c r="I100" s="4" t="s">
        <v>170</v>
      </c>
      <c r="J100" s="2">
        <f>(HearingAids[[#This Row],[haMSRP]]-HearingAids[[#This Row],[Discount Amount 1]])-(HearingAids[[#This Row],[haNetPriceBinural]]-HearingAids[[#This Row],[chargerPrice]])/2</f>
        <v>1150</v>
      </c>
      <c r="K100" s="2">
        <f>HearingAids[[#This Row],[HAListPrice]]-HearingAids[[#This Row],[Discount Amount 2]]</f>
        <v>2320</v>
      </c>
      <c r="L100" s="2">
        <v>4890</v>
      </c>
      <c r="M100" s="2"/>
      <c r="N100" s="2"/>
      <c r="O100" s="2"/>
      <c r="P100" s="2"/>
      <c r="Q100" s="15">
        <v>1</v>
      </c>
      <c r="R100" s="2" t="s">
        <v>13</v>
      </c>
      <c r="S100" s="2">
        <v>250</v>
      </c>
      <c r="T100" s="11" t="s">
        <v>14</v>
      </c>
      <c r="U100" s="2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 hidden="1">
      <c r="A101" s="3" t="s">
        <v>415</v>
      </c>
      <c r="B101" s="3" t="s">
        <v>418</v>
      </c>
      <c r="C101" s="60">
        <f>(HearingAids[[#This Row],[haMSRP]]*2)+HearingAids[[#This Row],[chargerPrice]]</f>
        <v>9608</v>
      </c>
      <c r="D101" s="39">
        <v>4679</v>
      </c>
      <c r="E101" s="52" t="s">
        <v>538</v>
      </c>
      <c r="F101" s="39">
        <f>HearingAids[[#This Row],[haMSRP]]-((HearingAids[[#This Row],[ListPriceBinural]]-HearingAids[[#This Row],[chargerPrice]])/2)</f>
        <v>479</v>
      </c>
      <c r="G101" s="39">
        <f>HearingAids[[#This Row],[haMSRP]]-HearingAids[[#This Row],[Discount Amount 1]]</f>
        <v>4200</v>
      </c>
      <c r="H101" s="2">
        <v>8650</v>
      </c>
      <c r="I101" s="4" t="s">
        <v>170</v>
      </c>
      <c r="J101" s="2">
        <f>(HearingAids[[#This Row],[haMSRP]]-HearingAids[[#This Row],[Discount Amount 1]])-(HearingAids[[#This Row],[haNetPriceBinural]]-HearingAids[[#This Row],[chargerPrice]])/2</f>
        <v>1480</v>
      </c>
      <c r="K101" s="2">
        <f>HearingAids[[#This Row],[HAListPrice]]-HearingAids[[#This Row],[Discount Amount 2]]</f>
        <v>2720</v>
      </c>
      <c r="L101" s="2">
        <v>5690</v>
      </c>
      <c r="M101" s="2"/>
      <c r="N101" s="2"/>
      <c r="O101" s="2"/>
      <c r="P101" s="2"/>
      <c r="Q101" s="15">
        <v>1</v>
      </c>
      <c r="R101" s="2" t="s">
        <v>13</v>
      </c>
      <c r="S101" s="2">
        <v>250</v>
      </c>
      <c r="T101" s="11" t="s">
        <v>14</v>
      </c>
      <c r="U101" s="2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 hidden="1">
      <c r="A102" s="3" t="s">
        <v>51</v>
      </c>
      <c r="B102" s="47" t="s">
        <v>520</v>
      </c>
      <c r="C102" s="57">
        <f>(HearingAids[[#This Row],[haMSRP]]*2)+HearingAids[[#This Row],[chargerPrice]]</f>
        <v>11638</v>
      </c>
      <c r="D102" s="39">
        <v>5819</v>
      </c>
      <c r="E102" s="52" t="s">
        <v>538</v>
      </c>
      <c r="F102" s="39">
        <f>HearingAids[[#This Row],[haMSRP]]-((HearingAids[[#This Row],[ListPriceBinural]]-HearingAids[[#This Row],[chargerPrice]])/2)</f>
        <v>894</v>
      </c>
      <c r="G102" s="39">
        <f>HearingAids[[#This Row],[haMSRP]]-HearingAids[[#This Row],[Discount Amount 1]]</f>
        <v>4925</v>
      </c>
      <c r="H102" s="2">
        <v>9850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4425</v>
      </c>
      <c r="L102" s="2">
        <v>8850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2.75" hidden="1">
      <c r="A103" s="3" t="s">
        <v>52</v>
      </c>
      <c r="B103" s="47" t="s">
        <v>532</v>
      </c>
      <c r="C103" s="57">
        <f>(HearingAids[[#This Row],[haMSRP]]*2)+HearingAids[[#This Row],[chargerPrice]]</f>
        <v>11638</v>
      </c>
      <c r="D103" s="39">
        <v>5819</v>
      </c>
      <c r="E103" s="52" t="s">
        <v>538</v>
      </c>
      <c r="F103" s="39">
        <f>HearingAids[[#This Row],[haMSRP]]-((HearingAids[[#This Row],[ListPriceBinural]]-HearingAids[[#This Row],[chargerPrice]])/2)</f>
        <v>894</v>
      </c>
      <c r="G103" s="39">
        <f>HearingAids[[#This Row],[haMSRP]]-HearingAids[[#This Row],[Discount Amount 1]]</f>
        <v>4925</v>
      </c>
      <c r="H103" s="2">
        <v>9850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4425</v>
      </c>
      <c r="L103" s="2">
        <v>8850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 hidden="1">
      <c r="A104" s="3" t="s">
        <v>53</v>
      </c>
      <c r="B104" s="47" t="s">
        <v>533</v>
      </c>
      <c r="C104" s="57">
        <f>(HearingAids[[#This Row],[haMSRP]]*2)+HearingAids[[#This Row],[chargerPrice]]</f>
        <v>7378</v>
      </c>
      <c r="D104" s="39">
        <v>3689</v>
      </c>
      <c r="E104" s="52" t="s">
        <v>538</v>
      </c>
      <c r="F104" s="39">
        <f>HearingAids[[#This Row],[haMSRP]]-((HearingAids[[#This Row],[ListPriceBinural]]-HearingAids[[#This Row],[chargerPrice]])/2)</f>
        <v>94</v>
      </c>
      <c r="G104" s="39">
        <f>HearingAids[[#This Row],[haMSRP]]-HearingAids[[#This Row],[Discount Amount 1]]</f>
        <v>3595</v>
      </c>
      <c r="H104" s="2">
        <v>7190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3095</v>
      </c>
      <c r="L104" s="2">
        <v>6190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W104" s="7"/>
      <c r="Y104" s="25"/>
      <c r="Z104" s="25"/>
      <c r="AA104" s="25"/>
      <c r="AB104"/>
      <c r="AC104"/>
      <c r="AD104"/>
      <c r="AE104"/>
    </row>
    <row r="105" spans="1:31" ht="12.75" hidden="1">
      <c r="A105" s="3" t="s">
        <v>54</v>
      </c>
      <c r="B105" s="47" t="s">
        <v>534</v>
      </c>
      <c r="C105" s="57">
        <f>(HearingAids[[#This Row],[haMSRP]]*2)+HearingAids[[#This Row],[chargerPrice]]</f>
        <v>7378</v>
      </c>
      <c r="D105" s="39">
        <v>3689</v>
      </c>
      <c r="E105" s="52" t="s">
        <v>538</v>
      </c>
      <c r="F105" s="39">
        <f>HearingAids[[#This Row],[haMSRP]]-((HearingAids[[#This Row],[ListPriceBinural]]-HearingAids[[#This Row],[chargerPrice]])/2)</f>
        <v>94</v>
      </c>
      <c r="G105" s="39">
        <f>HearingAids[[#This Row],[haMSRP]]-HearingAids[[#This Row],[Discount Amount 1]]</f>
        <v>3595</v>
      </c>
      <c r="H105" s="2">
        <v>7190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3095</v>
      </c>
      <c r="L105" s="2">
        <v>6190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 hidden="1">
      <c r="A106" s="3" t="s">
        <v>55</v>
      </c>
      <c r="B106" s="47" t="s">
        <v>535</v>
      </c>
      <c r="C106" s="57">
        <f>(HearingAids[[#This Row],[haMSRP]]*2)+HearingAids[[#This Row],[chargerPrice]]</f>
        <v>9358</v>
      </c>
      <c r="D106" s="39">
        <v>4679</v>
      </c>
      <c r="E106" s="52" t="s">
        <v>538</v>
      </c>
      <c r="F106" s="39">
        <f>HearingAids[[#This Row],[haMSRP]]-((HearingAids[[#This Row],[ListPriceBinural]]-HearingAids[[#This Row],[chargerPrice]])/2)</f>
        <v>354</v>
      </c>
      <c r="G106" s="39">
        <f>HearingAids[[#This Row],[haMSRP]]-HearingAids[[#This Row],[Discount Amount 1]]</f>
        <v>4325</v>
      </c>
      <c r="H106" s="2">
        <v>8650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3825</v>
      </c>
      <c r="L106" s="2">
        <v>7650</v>
      </c>
      <c r="M106" s="2"/>
      <c r="N106" s="2"/>
      <c r="O106" s="2"/>
      <c r="P106" s="40"/>
      <c r="Q106" s="15">
        <v>1</v>
      </c>
      <c r="R106" s="2" t="s">
        <v>16</v>
      </c>
      <c r="S106" s="2">
        <v>0</v>
      </c>
      <c r="T106" s="10" t="s">
        <v>10</v>
      </c>
      <c r="U106" s="7">
        <v>0</v>
      </c>
      <c r="V106" s="12" t="s">
        <v>11</v>
      </c>
      <c r="Y106" s="25"/>
      <c r="Z106" s="25"/>
      <c r="AA106" s="25"/>
      <c r="AB106"/>
      <c r="AC106"/>
      <c r="AD106"/>
      <c r="AE106"/>
    </row>
    <row r="107" spans="1:31" ht="12.75" hidden="1">
      <c r="A107" s="3" t="s">
        <v>56</v>
      </c>
      <c r="B107" s="47" t="s">
        <v>536</v>
      </c>
      <c r="C107" s="57">
        <f>(HearingAids[[#This Row],[haMSRP]]*2)+HearingAids[[#This Row],[chargerPrice]]</f>
        <v>9358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354</v>
      </c>
      <c r="G107" s="39">
        <f>HearingAids[[#This Row],[haMSRP]]-HearingAids[[#This Row],[Discount Amount 1]]</f>
        <v>4325</v>
      </c>
      <c r="H107" s="2">
        <v>8650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3825</v>
      </c>
      <c r="L107" s="2">
        <v>7650</v>
      </c>
      <c r="M107" s="2"/>
      <c r="N107" s="2"/>
      <c r="O107" s="2"/>
      <c r="P107" s="40"/>
      <c r="Q107" s="15">
        <v>1</v>
      </c>
      <c r="R107" s="2" t="s">
        <v>16</v>
      </c>
      <c r="S107" s="2">
        <v>0</v>
      </c>
      <c r="T107" s="10" t="s">
        <v>10</v>
      </c>
      <c r="U107" s="7">
        <v>0</v>
      </c>
      <c r="V107" s="12" t="s">
        <v>11</v>
      </c>
      <c r="Y107" s="25"/>
      <c r="Z107" s="25"/>
      <c r="AA107" s="25"/>
      <c r="AB107"/>
      <c r="AC107"/>
      <c r="AD107"/>
      <c r="AE107"/>
    </row>
    <row r="108" spans="1:31" ht="12.75" hidden="1">
      <c r="A108" s="38" t="s">
        <v>496</v>
      </c>
      <c r="B108" s="47" t="s">
        <v>503</v>
      </c>
      <c r="C108" s="57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2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41">
        <v>1</v>
      </c>
      <c r="R108" s="40" t="s">
        <v>13</v>
      </c>
      <c r="S108" s="40">
        <v>250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 hidden="1">
      <c r="A109" s="38" t="s">
        <v>498</v>
      </c>
      <c r="B109" s="46" t="s">
        <v>505</v>
      </c>
      <c r="C109" s="59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2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41">
        <v>1</v>
      </c>
      <c r="R109" s="40" t="s">
        <v>13</v>
      </c>
      <c r="S109" s="40">
        <v>250</v>
      </c>
      <c r="T109" s="42" t="s">
        <v>14</v>
      </c>
      <c r="U109" s="43">
        <v>0</v>
      </c>
      <c r="V109" s="39" t="s">
        <v>11</v>
      </c>
      <c r="Y109" s="25"/>
      <c r="Z109" s="25"/>
      <c r="AA109" s="25"/>
      <c r="AB109"/>
      <c r="AC109"/>
      <c r="AD109"/>
      <c r="AE109"/>
    </row>
    <row r="110" spans="1:31" ht="12.75" hidden="1">
      <c r="A110" s="38" t="s">
        <v>497</v>
      </c>
      <c r="B110" s="47" t="s">
        <v>504</v>
      </c>
      <c r="C110" s="57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2">
        <v>8650</v>
      </c>
      <c r="I110" s="69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41">
        <v>1</v>
      </c>
      <c r="R110" s="40" t="s">
        <v>13</v>
      </c>
      <c r="S110" s="40">
        <v>250</v>
      </c>
      <c r="T110" s="42" t="s">
        <v>14</v>
      </c>
      <c r="U110" s="43">
        <v>0</v>
      </c>
      <c r="V110" s="39" t="s">
        <v>11</v>
      </c>
      <c r="Y110" s="25"/>
      <c r="Z110" s="25"/>
      <c r="AA110" s="25"/>
      <c r="AB110"/>
      <c r="AC110"/>
      <c r="AD110"/>
      <c r="AE110"/>
    </row>
    <row r="111" spans="1:31" ht="12.75" hidden="1">
      <c r="A111" s="3" t="s">
        <v>413</v>
      </c>
      <c r="B111" s="37" t="s">
        <v>416</v>
      </c>
      <c r="C111" s="58">
        <f>(HearingAids[[#This Row],[haMSRP]]*2)+HearingAids[[#This Row],[chargerPrice]]</f>
        <v>11888</v>
      </c>
      <c r="D111" s="39">
        <v>5819</v>
      </c>
      <c r="E111" s="52" t="s">
        <v>538</v>
      </c>
      <c r="F111" s="39">
        <f>HearingAids[[#This Row],[haMSRP]]-((HearingAids[[#This Row],[ListPriceBinural]]-HearingAids[[#This Row],[chargerPrice]])/2)</f>
        <v>1019</v>
      </c>
      <c r="G111" s="39">
        <f>HearingAids[[#This Row],[haMSRP]]-HearingAids[[#This Row],[Discount Amount 1]]</f>
        <v>4800</v>
      </c>
      <c r="H111" s="2">
        <v>9850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4300</v>
      </c>
      <c r="L111" s="2">
        <v>8850</v>
      </c>
      <c r="M111" s="2"/>
      <c r="N111" s="2"/>
      <c r="O111" s="2"/>
      <c r="P111" s="40"/>
      <c r="Q111" s="15">
        <v>1</v>
      </c>
      <c r="R111" s="2" t="s">
        <v>13</v>
      </c>
      <c r="S111" s="2">
        <v>250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 hidden="1">
      <c r="A112" s="3" t="s">
        <v>414</v>
      </c>
      <c r="B112" s="47" t="s">
        <v>417</v>
      </c>
      <c r="C112" s="57">
        <f>(HearingAids[[#This Row],[haMSRP]]*2)+HearingAids[[#This Row],[chargerPrice]]</f>
        <v>7628</v>
      </c>
      <c r="D112" s="39">
        <v>3689</v>
      </c>
      <c r="E112" s="52" t="s">
        <v>538</v>
      </c>
      <c r="F112" s="39">
        <f>HearingAids[[#This Row],[haMSRP]]-((HearingAids[[#This Row],[ListPriceBinural]]-HearingAids[[#This Row],[chargerPrice]])/2)</f>
        <v>219</v>
      </c>
      <c r="G112" s="39">
        <f>HearingAids[[#This Row],[haMSRP]]-HearingAids[[#This Row],[Discount Amount 1]]</f>
        <v>3470</v>
      </c>
      <c r="H112" s="2">
        <v>7190</v>
      </c>
      <c r="I112" s="48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2970</v>
      </c>
      <c r="L112" s="2">
        <v>6190</v>
      </c>
      <c r="M112" s="2"/>
      <c r="N112" s="2"/>
      <c r="O112" s="2"/>
      <c r="P112" s="40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 hidden="1">
      <c r="A113" s="3" t="s">
        <v>415</v>
      </c>
      <c r="B113" s="37" t="s">
        <v>418</v>
      </c>
      <c r="C113" s="58">
        <f>(HearingAids[[#This Row],[haMSRP]]*2)+HearingAids[[#This Row],[chargerPrice]]</f>
        <v>9608</v>
      </c>
      <c r="D113" s="39">
        <v>4679</v>
      </c>
      <c r="E113" s="52" t="s">
        <v>538</v>
      </c>
      <c r="F113" s="39">
        <f>HearingAids[[#This Row],[haMSRP]]-((HearingAids[[#This Row],[ListPriceBinural]]-HearingAids[[#This Row],[chargerPrice]])/2)</f>
        <v>479</v>
      </c>
      <c r="G113" s="39">
        <f>HearingAids[[#This Row],[haMSRP]]-HearingAids[[#This Row],[Discount Amount 1]]</f>
        <v>4200</v>
      </c>
      <c r="H113" s="2">
        <v>8650</v>
      </c>
      <c r="I113" s="48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3700</v>
      </c>
      <c r="L113" s="2">
        <v>7650</v>
      </c>
      <c r="M113" s="2"/>
      <c r="N113" s="2"/>
      <c r="O113" s="2"/>
      <c r="P113" s="40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 hidden="1">
      <c r="A114" s="38" t="s">
        <v>500</v>
      </c>
      <c r="B114" s="47" t="s">
        <v>507</v>
      </c>
      <c r="C114" s="57">
        <f>(HearingAids[[#This Row],[haMSRP]]*2)+HearingAids[[#This Row],[chargerPrice]]</f>
        <v>4878</v>
      </c>
      <c r="D114" s="39">
        <v>2339</v>
      </c>
      <c r="E114" s="52" t="s">
        <v>538</v>
      </c>
      <c r="F114" s="39">
        <f>HearingAids[[#This Row],[haMSRP]]-((HearingAids[[#This Row],[ListPriceBinural]]-HearingAids[[#This Row],[chargerPrice]])/2)</f>
        <v>689</v>
      </c>
      <c r="G114" s="39">
        <f>HearingAids[[#This Row],[haMSRP]]-HearingAids[[#This Row],[Discount Amount 1]]</f>
        <v>1650</v>
      </c>
      <c r="H114" s="22">
        <v>3500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55</v>
      </c>
      <c r="K114" s="2">
        <f>HearingAids[[#This Row],[HAListPrice]]-HearingAids[[#This Row],[Discount Amount 2]]</f>
        <v>1595</v>
      </c>
      <c r="L114" s="2">
        <v>3390</v>
      </c>
      <c r="M114" s="2"/>
      <c r="N114" s="2"/>
      <c r="O114" s="2"/>
      <c r="P114" s="22"/>
      <c r="Q114" s="23">
        <v>1</v>
      </c>
      <c r="R114" s="22" t="s">
        <v>9</v>
      </c>
      <c r="S114" s="22">
        <v>200</v>
      </c>
      <c r="T114" s="24" t="s">
        <v>26</v>
      </c>
      <c r="U114" s="25">
        <v>0</v>
      </c>
      <c r="V114" s="25" t="s">
        <v>11</v>
      </c>
      <c r="Y114" s="25"/>
      <c r="Z114" s="25"/>
      <c r="AA114" s="25"/>
      <c r="AB114"/>
      <c r="AC114"/>
      <c r="AD114"/>
      <c r="AE114"/>
    </row>
    <row r="115" spans="1:31" ht="12.75" hidden="1">
      <c r="A115" s="3" t="s">
        <v>413</v>
      </c>
      <c r="B115" s="37" t="s">
        <v>416</v>
      </c>
      <c r="C115" s="58">
        <f>(HearingAids[[#This Row],[haMSRP]]*2)+HearingAids[[#This Row],[chargerPrice]]</f>
        <v>11888</v>
      </c>
      <c r="D115" s="39">
        <v>5819</v>
      </c>
      <c r="E115" s="52" t="s">
        <v>538</v>
      </c>
      <c r="F115" s="39">
        <f>HearingAids[[#This Row],[haMSRP]]-((HearingAids[[#This Row],[ListPriceBinural]]-HearingAids[[#This Row],[chargerPrice]])/2)</f>
        <v>1019</v>
      </c>
      <c r="G115" s="39">
        <f>HearingAids[[#This Row],[haMSRP]]-HearingAids[[#This Row],[Discount Amount 1]]</f>
        <v>4800</v>
      </c>
      <c r="H115" s="2">
        <v>9850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1580</v>
      </c>
      <c r="K115" s="2">
        <f>HearingAids[[#This Row],[HAListPrice]]-HearingAids[[#This Row],[Discount Amount 2]]</f>
        <v>3220</v>
      </c>
      <c r="L115" s="2">
        <v>6690</v>
      </c>
      <c r="M115" s="2"/>
      <c r="N115" s="2"/>
      <c r="O115" s="2"/>
      <c r="P115" s="2"/>
      <c r="Q115" s="15">
        <v>1</v>
      </c>
      <c r="R115" s="2" t="s">
        <v>13</v>
      </c>
      <c r="S115" s="2">
        <v>250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 hidden="1">
      <c r="A116" s="3" t="s">
        <v>414</v>
      </c>
      <c r="B116" s="3" t="s">
        <v>417</v>
      </c>
      <c r="C116" s="60">
        <f>(HearingAids[[#This Row],[haMSRP]]*2)+HearingAids[[#This Row],[chargerPrice]]</f>
        <v>7628</v>
      </c>
      <c r="D116" s="39">
        <v>3689</v>
      </c>
      <c r="E116" s="52" t="s">
        <v>538</v>
      </c>
      <c r="F116" s="39">
        <f>HearingAids[[#This Row],[haMSRP]]-((HearingAids[[#This Row],[ListPriceBinural]]-HearingAids[[#This Row],[chargerPrice]])/2)</f>
        <v>219</v>
      </c>
      <c r="G116" s="39">
        <f>HearingAids[[#This Row],[haMSRP]]-HearingAids[[#This Row],[Discount Amount 1]]</f>
        <v>3470</v>
      </c>
      <c r="H116" s="2">
        <v>7190</v>
      </c>
      <c r="I116" s="4" t="s">
        <v>49</v>
      </c>
      <c r="J116" s="2">
        <f>(HearingAids[[#This Row],[haMSRP]]-HearingAids[[#This Row],[Discount Amount 1]])-(HearingAids[[#This Row],[haNetPriceBinural]]-HearingAids[[#This Row],[chargerPrice]])/2</f>
        <v>1150</v>
      </c>
      <c r="K116" s="2">
        <f>HearingAids[[#This Row],[HAListPrice]]-HearingAids[[#This Row],[Discount Amount 2]]</f>
        <v>2320</v>
      </c>
      <c r="L116" s="2">
        <v>4890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 hidden="1">
      <c r="A117" s="3" t="s">
        <v>415</v>
      </c>
      <c r="B117" s="3" t="s">
        <v>418</v>
      </c>
      <c r="C117" s="60">
        <f>(HearingAids[[#This Row],[haMSRP]]*2)+HearingAids[[#This Row],[chargerPrice]]</f>
        <v>9608</v>
      </c>
      <c r="D117" s="39">
        <v>4679</v>
      </c>
      <c r="E117" s="52" t="s">
        <v>538</v>
      </c>
      <c r="F117" s="39">
        <f>HearingAids[[#This Row],[haMSRP]]-((HearingAids[[#This Row],[ListPriceBinural]]-HearingAids[[#This Row],[chargerPrice]])/2)</f>
        <v>479</v>
      </c>
      <c r="G117" s="39">
        <f>HearingAids[[#This Row],[haMSRP]]-HearingAids[[#This Row],[Discount Amount 1]]</f>
        <v>4200</v>
      </c>
      <c r="H117" s="2">
        <v>8650</v>
      </c>
      <c r="I117" s="4" t="s">
        <v>49</v>
      </c>
      <c r="J117" s="2">
        <f>(HearingAids[[#This Row],[haMSRP]]-HearingAids[[#This Row],[Discount Amount 1]])-(HearingAids[[#This Row],[haNetPriceBinural]]-HearingAids[[#This Row],[chargerPrice]])/2</f>
        <v>1480</v>
      </c>
      <c r="K117" s="2">
        <f>HearingAids[[#This Row],[HAListPrice]]-HearingAids[[#This Row],[Discount Amount 2]]</f>
        <v>2720</v>
      </c>
      <c r="L117" s="2">
        <v>5690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 hidden="1">
      <c r="A118" s="38" t="s">
        <v>500</v>
      </c>
      <c r="B118" s="47" t="s">
        <v>507</v>
      </c>
      <c r="C118" s="57">
        <f>(HearingAids[[#This Row],[haMSRP]]*2)+HearingAids[[#This Row],[chargerPrice]]</f>
        <v>4878</v>
      </c>
      <c r="D118" s="39">
        <v>2339</v>
      </c>
      <c r="E118" s="52" t="s">
        <v>538</v>
      </c>
      <c r="F118" s="39">
        <f>HearingAids[[#This Row],[haMSRP]]-((HearingAids[[#This Row],[ListPriceBinural]]-HearingAids[[#This Row],[chargerPrice]])/2)</f>
        <v>689</v>
      </c>
      <c r="G118" s="39">
        <f>HearingAids[[#This Row],[haMSRP]]-HearingAids[[#This Row],[Discount Amount 1]]</f>
        <v>1650</v>
      </c>
      <c r="H118" s="22">
        <v>3500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55</v>
      </c>
      <c r="K118" s="2">
        <f>HearingAids[[#This Row],[HAListPrice]]-HearingAids[[#This Row],[Discount Amount 2]]</f>
        <v>1595</v>
      </c>
      <c r="L118" s="2">
        <v>3390</v>
      </c>
      <c r="M118" s="2"/>
      <c r="N118" s="2"/>
      <c r="O118" s="2"/>
      <c r="P118" s="22"/>
      <c r="Q118" s="23">
        <v>1</v>
      </c>
      <c r="R118" s="22" t="s">
        <v>9</v>
      </c>
      <c r="S118" s="22">
        <v>200</v>
      </c>
      <c r="T118" s="24" t="s">
        <v>26</v>
      </c>
      <c r="U118" s="25">
        <v>0</v>
      </c>
      <c r="V118" s="25" t="s">
        <v>11</v>
      </c>
      <c r="Y118" s="25"/>
      <c r="Z118" s="25"/>
      <c r="AA118" s="25"/>
      <c r="AB118"/>
      <c r="AC118"/>
      <c r="AD118"/>
      <c r="AE118"/>
    </row>
    <row r="119" spans="1:31" ht="12.75" hidden="1">
      <c r="A119" s="3" t="s">
        <v>413</v>
      </c>
      <c r="B119" s="37" t="s">
        <v>416</v>
      </c>
      <c r="C119" s="58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2">
        <v>9850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1580</v>
      </c>
      <c r="K119" s="2">
        <f>HearingAids[[#This Row],[HAListPrice]]-HearingAids[[#This Row],[Discount Amount 2]]</f>
        <v>3220</v>
      </c>
      <c r="L119" s="2">
        <v>6690</v>
      </c>
      <c r="M119" s="2"/>
      <c r="N119" s="2"/>
      <c r="O119" s="2"/>
      <c r="P119" s="2"/>
      <c r="Q119" s="15">
        <v>1</v>
      </c>
      <c r="R119" s="2" t="s">
        <v>13</v>
      </c>
      <c r="S119" s="2">
        <v>250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 hidden="1">
      <c r="A120" s="3" t="s">
        <v>414</v>
      </c>
      <c r="B120" s="3" t="s">
        <v>417</v>
      </c>
      <c r="C120" s="60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2">
        <v>7190</v>
      </c>
      <c r="I120" s="4" t="s">
        <v>50</v>
      </c>
      <c r="J120" s="2">
        <f>(HearingAids[[#This Row],[haMSRP]]-HearingAids[[#This Row],[Discount Amount 1]])-(HearingAids[[#This Row],[haNetPriceBinural]]-HearingAids[[#This Row],[chargerPrice]])/2</f>
        <v>1150</v>
      </c>
      <c r="K120" s="2">
        <f>HearingAids[[#This Row],[HAListPrice]]-HearingAids[[#This Row],[Discount Amount 2]]</f>
        <v>2320</v>
      </c>
      <c r="L120" s="2">
        <v>4890</v>
      </c>
      <c r="M120" s="2"/>
      <c r="N120" s="2"/>
      <c r="O120" s="2"/>
      <c r="P120" s="2"/>
      <c r="Q120" s="15">
        <v>1</v>
      </c>
      <c r="R120" s="2" t="s">
        <v>13</v>
      </c>
      <c r="S120" s="2">
        <v>250</v>
      </c>
      <c r="T120" s="11" t="s">
        <v>14</v>
      </c>
      <c r="U120" s="2">
        <v>0</v>
      </c>
      <c r="V120" s="12" t="s">
        <v>11</v>
      </c>
      <c r="Y120" s="25"/>
      <c r="Z120" s="25"/>
      <c r="AA120" s="25"/>
      <c r="AB120"/>
      <c r="AC120"/>
      <c r="AD120"/>
      <c r="AE120"/>
    </row>
    <row r="121" spans="1:31" ht="12.75" hidden="1">
      <c r="A121" s="3" t="s">
        <v>415</v>
      </c>
      <c r="B121" s="3" t="s">
        <v>418</v>
      </c>
      <c r="C121" s="60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2">
        <v>8650</v>
      </c>
      <c r="I121" s="4" t="s">
        <v>50</v>
      </c>
      <c r="J121" s="2">
        <f>(HearingAids[[#This Row],[haMSRP]]-HearingAids[[#This Row],[Discount Amount 1]])-(HearingAids[[#This Row],[haNetPriceBinural]]-HearingAids[[#This Row],[chargerPrice]])/2</f>
        <v>1480</v>
      </c>
      <c r="K121" s="2">
        <f>HearingAids[[#This Row],[HAListPrice]]-HearingAids[[#This Row],[Discount Amount 2]]</f>
        <v>2720</v>
      </c>
      <c r="L121" s="2">
        <v>5690</v>
      </c>
      <c r="M121" s="2"/>
      <c r="N121" s="2"/>
      <c r="O121" s="2"/>
      <c r="P121" s="2"/>
      <c r="Q121" s="15">
        <v>1</v>
      </c>
      <c r="R121" s="2" t="s">
        <v>13</v>
      </c>
      <c r="S121" s="2">
        <v>250</v>
      </c>
      <c r="T121" s="11" t="s">
        <v>14</v>
      </c>
      <c r="U121" s="2">
        <v>0</v>
      </c>
      <c r="V121" s="12" t="s">
        <v>11</v>
      </c>
      <c r="Y121" s="25"/>
      <c r="Z121" s="25"/>
      <c r="AA121" s="25"/>
      <c r="AB121"/>
      <c r="AC121"/>
      <c r="AD121"/>
      <c r="AE121"/>
    </row>
    <row r="122" spans="1:31" ht="12.75" hidden="1">
      <c r="A122" s="38" t="s">
        <v>496</v>
      </c>
      <c r="B122" s="46" t="s">
        <v>503</v>
      </c>
      <c r="C122" s="59">
        <f>(HearingAids[[#This Row],[haMSRP]]*2)+HearingAids[[#This Row],[chargerPrice]]</f>
        <v>11888</v>
      </c>
      <c r="D122" s="39">
        <v>5819</v>
      </c>
      <c r="E122" s="52" t="s">
        <v>538</v>
      </c>
      <c r="F122" s="39">
        <f>HearingAids[[#This Row],[haMSRP]]-((HearingAids[[#This Row],[ListPriceBinural]]-HearingAids[[#This Row],[chargerPrice]])/2)</f>
        <v>1019</v>
      </c>
      <c r="G122" s="39">
        <f>HearingAids[[#This Row],[haMSRP]]-HearingAids[[#This Row],[Discount Amount 1]]</f>
        <v>4800</v>
      </c>
      <c r="H122" s="2">
        <v>9850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1125</v>
      </c>
      <c r="K122" s="2">
        <f>HearingAids[[#This Row],[HAListPrice]]-HearingAids[[#This Row],[Discount Amount 2]]</f>
        <v>3675</v>
      </c>
      <c r="L122" s="2">
        <v>8600</v>
      </c>
      <c r="M122" s="48"/>
      <c r="N122" s="2"/>
      <c r="O122" s="61">
        <f>HearingAids[[#This Row],[haNetPrice]]-HearingAids[[#This Row],[Discount Amount 3]]</f>
        <v>3675</v>
      </c>
      <c r="P122" s="8">
        <v>7600</v>
      </c>
      <c r="Q122" s="28">
        <v>1</v>
      </c>
      <c r="R122" s="8" t="s">
        <v>13</v>
      </c>
      <c r="S122" s="8">
        <v>250</v>
      </c>
      <c r="T122" s="24" t="s">
        <v>14</v>
      </c>
      <c r="U122" s="25">
        <v>0</v>
      </c>
      <c r="V122" s="25" t="s">
        <v>11</v>
      </c>
      <c r="Y122" s="25"/>
      <c r="Z122" s="25"/>
      <c r="AA122" s="25"/>
      <c r="AB122"/>
      <c r="AC122"/>
      <c r="AD122"/>
      <c r="AE122"/>
    </row>
    <row r="123" spans="1:31" ht="12.75" hidden="1">
      <c r="A123" s="38" t="s">
        <v>498</v>
      </c>
      <c r="B123" s="46" t="s">
        <v>505</v>
      </c>
      <c r="C123" s="59">
        <f>(HearingAids[[#This Row],[haMSRP]]*2)+HearingAids[[#This Row],[chargerPrice]]</f>
        <v>7628</v>
      </c>
      <c r="D123" s="39">
        <v>3689</v>
      </c>
      <c r="E123" s="52" t="s">
        <v>538</v>
      </c>
      <c r="F123" s="39">
        <f>HearingAids[[#This Row],[haMSRP]]-((HearingAids[[#This Row],[ListPriceBinural]]-HearingAids[[#This Row],[chargerPrice]])/2)</f>
        <v>219</v>
      </c>
      <c r="G123" s="39">
        <f>HearingAids[[#This Row],[haMSRP]]-HearingAids[[#This Row],[Discount Amount 1]]</f>
        <v>3470</v>
      </c>
      <c r="H123" s="2">
        <v>7190</v>
      </c>
      <c r="I123" s="4" t="s">
        <v>421</v>
      </c>
      <c r="J123" s="2">
        <f>((HearingAids[[#This Row],[haMSRP]]-HearingAids[[#This Row],[Discount Amount 1]])-(HearingAids[[#This Row],[haNetPriceBinural]]-HearingAids[[#This Row],[chargerPrice]])/2)+500</f>
        <v>695</v>
      </c>
      <c r="K123" s="2">
        <f>HearingAids[[#This Row],[HAListPrice]]-HearingAids[[#This Row],[Discount Amount 2]]</f>
        <v>2775</v>
      </c>
      <c r="L123" s="2">
        <v>6800</v>
      </c>
      <c r="M123" s="48"/>
      <c r="N123" s="2"/>
      <c r="O123" s="61">
        <f>HearingAids[[#This Row],[haNetPrice]]-HearingAids[[#This Row],[Discount Amount 3]]</f>
        <v>2775</v>
      </c>
      <c r="P123" s="8">
        <v>5800</v>
      </c>
      <c r="Q123" s="28">
        <v>1</v>
      </c>
      <c r="R123" s="8" t="s">
        <v>13</v>
      </c>
      <c r="S123" s="8">
        <v>250</v>
      </c>
      <c r="T123" s="24" t="s">
        <v>14</v>
      </c>
      <c r="U123" s="25">
        <v>0</v>
      </c>
      <c r="V123" s="25" t="s">
        <v>11</v>
      </c>
      <c r="Y123" s="25"/>
      <c r="Z123" s="25"/>
      <c r="AA123" s="25"/>
      <c r="AB123"/>
      <c r="AC123"/>
      <c r="AD123"/>
      <c r="AE123"/>
    </row>
    <row r="124" spans="1:31" ht="12.75" hidden="1">
      <c r="A124" s="38" t="s">
        <v>497</v>
      </c>
      <c r="B124" s="46" t="s">
        <v>504</v>
      </c>
      <c r="C124" s="59">
        <f>(HearingAids[[#This Row],[haMSRP]]*2)+HearingAids[[#This Row],[chargerPrice]]</f>
        <v>9608</v>
      </c>
      <c r="D124" s="39">
        <v>4679</v>
      </c>
      <c r="E124" s="52" t="s">
        <v>538</v>
      </c>
      <c r="F124" s="39">
        <f>HearingAids[[#This Row],[haMSRP]]-((HearingAids[[#This Row],[ListPriceBinural]]-HearingAids[[#This Row],[chargerPrice]])/2)</f>
        <v>479</v>
      </c>
      <c r="G124" s="39">
        <f>HearingAids[[#This Row],[haMSRP]]-HearingAids[[#This Row],[Discount Amount 1]]</f>
        <v>4200</v>
      </c>
      <c r="H124" s="2">
        <v>8650</v>
      </c>
      <c r="I124" s="4" t="s">
        <v>421</v>
      </c>
      <c r="J124" s="2">
        <f>((HearingAids[[#This Row],[haMSRP]]-HearingAids[[#This Row],[Discount Amount 1]])-(HearingAids[[#This Row],[haNetPriceBinural]]-HearingAids[[#This Row],[chargerPrice]])/2)+500</f>
        <v>1025</v>
      </c>
      <c r="K124" s="2">
        <f>HearingAids[[#This Row],[HAListPrice]]-HearingAids[[#This Row],[Discount Amount 2]]</f>
        <v>3175</v>
      </c>
      <c r="L124" s="2">
        <v>7600</v>
      </c>
      <c r="M124" s="48"/>
      <c r="N124" s="2"/>
      <c r="O124" s="61">
        <f>HearingAids[[#This Row],[haNetPrice]]-HearingAids[[#This Row],[Discount Amount 3]]</f>
        <v>3175</v>
      </c>
      <c r="P124" s="8">
        <v>6600</v>
      </c>
      <c r="Q124" s="28">
        <v>1</v>
      </c>
      <c r="R124" s="8" t="s">
        <v>13</v>
      </c>
      <c r="S124" s="8">
        <v>250</v>
      </c>
      <c r="T124" s="24" t="s">
        <v>14</v>
      </c>
      <c r="U124" s="25">
        <v>0</v>
      </c>
      <c r="V124" s="25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 hidden="1">
      <c r="A125" s="38" t="s">
        <v>500</v>
      </c>
      <c r="B125" s="47" t="s">
        <v>507</v>
      </c>
      <c r="C125" s="57">
        <f>(HearingAids[[#This Row],[haMSRP]]*2)+HearingAids[[#This Row],[chargerPrice]]</f>
        <v>4878</v>
      </c>
      <c r="D125" s="39">
        <v>2339</v>
      </c>
      <c r="E125" s="52" t="s">
        <v>538</v>
      </c>
      <c r="F125" s="39">
        <f>HearingAids[[#This Row],[haMSRP]]-((HearingAids[[#This Row],[ListPriceBinural]]-HearingAids[[#This Row],[chargerPrice]])/2)</f>
        <v>689</v>
      </c>
      <c r="G125" s="39">
        <f>HearingAids[[#This Row],[haMSRP]]-HearingAids[[#This Row],[Discount Amount 1]]</f>
        <v>1650</v>
      </c>
      <c r="H125" s="22">
        <v>3500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55</v>
      </c>
      <c r="K125" s="2">
        <f>HearingAids[[#This Row],[HAListPrice]]-HearingAids[[#This Row],[Discount Amount 2]]</f>
        <v>1595</v>
      </c>
      <c r="L125" s="2">
        <v>3390</v>
      </c>
      <c r="M125" s="2"/>
      <c r="N125" s="2"/>
      <c r="O125" s="2"/>
      <c r="P125" s="22"/>
      <c r="Q125" s="15">
        <v>1</v>
      </c>
      <c r="R125" s="2" t="s">
        <v>9</v>
      </c>
      <c r="S125" s="2">
        <v>200</v>
      </c>
      <c r="T125" s="10" t="s">
        <v>26</v>
      </c>
      <c r="U125" s="7">
        <v>0</v>
      </c>
      <c r="V125" s="12" t="s">
        <v>11</v>
      </c>
      <c r="W125" s="2"/>
      <c r="Y125" s="25"/>
      <c r="Z125" s="25"/>
      <c r="AA125" s="25"/>
      <c r="AB125"/>
      <c r="AC125"/>
      <c r="AD125"/>
      <c r="AE125"/>
    </row>
    <row r="126" spans="1:31" ht="12.75" hidden="1">
      <c r="A126" s="3" t="s">
        <v>413</v>
      </c>
      <c r="B126" s="37" t="s">
        <v>416</v>
      </c>
      <c r="C126" s="58">
        <f>(HearingAids[[#This Row],[haMSRP]]*2)+HearingAids[[#This Row],[chargerPrice]]</f>
        <v>11888</v>
      </c>
      <c r="D126" s="39">
        <v>5819</v>
      </c>
      <c r="E126" s="52" t="s">
        <v>538</v>
      </c>
      <c r="F126" s="39">
        <f>HearingAids[[#This Row],[haMSRP]]-((HearingAids[[#This Row],[ListPriceBinural]]-HearingAids[[#This Row],[chargerPrice]])/2)</f>
        <v>1019</v>
      </c>
      <c r="G126" s="39">
        <f>HearingAids[[#This Row],[haMSRP]]-HearingAids[[#This Row],[Discount Amount 1]]</f>
        <v>4800</v>
      </c>
      <c r="H126" s="2">
        <v>9850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1580</v>
      </c>
      <c r="K126" s="2">
        <f>HearingAids[[#This Row],[HAListPrice]]-HearingAids[[#This Row],[Discount Amount 2]]</f>
        <v>3220</v>
      </c>
      <c r="L126" s="2">
        <v>6690</v>
      </c>
      <c r="M126" s="2"/>
      <c r="N126" s="2"/>
      <c r="O126" s="2"/>
      <c r="P126" s="2"/>
      <c r="Q126" s="15">
        <v>1</v>
      </c>
      <c r="R126" s="2" t="s">
        <v>13</v>
      </c>
      <c r="S126" s="2">
        <v>250</v>
      </c>
      <c r="T126" s="11" t="s">
        <v>14</v>
      </c>
      <c r="U126" s="2">
        <v>0</v>
      </c>
      <c r="V126" s="12" t="s">
        <v>11</v>
      </c>
      <c r="W126" s="2"/>
      <c r="Y126" s="25"/>
      <c r="Z126" s="25"/>
      <c r="AA126" s="25"/>
      <c r="AB126"/>
      <c r="AC126"/>
      <c r="AD126"/>
      <c r="AE126"/>
    </row>
    <row r="127" spans="1:31" ht="12.75" hidden="1">
      <c r="A127" s="3" t="s">
        <v>414</v>
      </c>
      <c r="B127" s="3" t="s">
        <v>417</v>
      </c>
      <c r="C127" s="60">
        <f>(HearingAids[[#This Row],[haMSRP]]*2)+HearingAids[[#This Row],[chargerPrice]]</f>
        <v>7628</v>
      </c>
      <c r="D127" s="39">
        <v>3689</v>
      </c>
      <c r="E127" s="52" t="s">
        <v>538</v>
      </c>
      <c r="F127" s="39">
        <f>HearingAids[[#This Row],[haMSRP]]-((HearingAids[[#This Row],[ListPriceBinural]]-HearingAids[[#This Row],[chargerPrice]])/2)</f>
        <v>219</v>
      </c>
      <c r="G127" s="39">
        <f>HearingAids[[#This Row],[haMSRP]]-HearingAids[[#This Row],[Discount Amount 1]]</f>
        <v>3470</v>
      </c>
      <c r="H127" s="2">
        <v>7190</v>
      </c>
      <c r="I127" s="29" t="s">
        <v>432</v>
      </c>
      <c r="J127" s="2">
        <f>(HearingAids[[#This Row],[haMSRP]]-HearingAids[[#This Row],[Discount Amount 1]])-(HearingAids[[#This Row],[haNetPriceBinural]]-HearingAids[[#This Row],[chargerPrice]])/2</f>
        <v>1150</v>
      </c>
      <c r="K127" s="2">
        <f>HearingAids[[#This Row],[HAListPrice]]-HearingAids[[#This Row],[Discount Amount 2]]</f>
        <v>2320</v>
      </c>
      <c r="L127" s="2">
        <v>4890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 hidden="1">
      <c r="A128" s="3" t="s">
        <v>415</v>
      </c>
      <c r="B128" s="3" t="s">
        <v>418</v>
      </c>
      <c r="C128" s="60">
        <f>(HearingAids[[#This Row],[haMSRP]]*2)+HearingAids[[#This Row],[chargerPrice]]</f>
        <v>9608</v>
      </c>
      <c r="D128" s="39">
        <v>4679</v>
      </c>
      <c r="E128" s="52" t="s">
        <v>538</v>
      </c>
      <c r="F128" s="39">
        <f>HearingAids[[#This Row],[haMSRP]]-((HearingAids[[#This Row],[ListPriceBinural]]-HearingAids[[#This Row],[chargerPrice]])/2)</f>
        <v>479</v>
      </c>
      <c r="G128" s="39">
        <f>HearingAids[[#This Row],[haMSRP]]-HearingAids[[#This Row],[Discount Amount 1]]</f>
        <v>4200</v>
      </c>
      <c r="H128" s="2">
        <v>8650</v>
      </c>
      <c r="I128" s="29" t="s">
        <v>432</v>
      </c>
      <c r="J128" s="2">
        <f>(HearingAids[[#This Row],[haMSRP]]-HearingAids[[#This Row],[Discount Amount 1]])-(HearingAids[[#This Row],[haNetPriceBinural]]-HearingAids[[#This Row],[chargerPrice]])/2</f>
        <v>1480</v>
      </c>
      <c r="K128" s="2">
        <f>HearingAids[[#This Row],[HAListPrice]]-HearingAids[[#This Row],[Discount Amount 2]]</f>
        <v>2720</v>
      </c>
      <c r="L128" s="2">
        <v>5690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 hidden="1">
      <c r="A129" s="38" t="s">
        <v>500</v>
      </c>
      <c r="B129" s="47" t="s">
        <v>507</v>
      </c>
      <c r="C129" s="57">
        <f>(HearingAids[[#This Row],[haMSRP]]*2)+HearingAids[[#This Row],[chargerPrice]]</f>
        <v>4878</v>
      </c>
      <c r="D129" s="39">
        <v>2339</v>
      </c>
      <c r="E129" s="52" t="s">
        <v>538</v>
      </c>
      <c r="F129" s="39">
        <f>HearingAids[[#This Row],[haMSRP]]-((HearingAids[[#This Row],[ListPriceBinural]]-HearingAids[[#This Row],[chargerPrice]])/2)</f>
        <v>689</v>
      </c>
      <c r="G129" s="39">
        <f>HearingAids[[#This Row],[haMSRP]]-HearingAids[[#This Row],[Discount Amount 1]]</f>
        <v>1650</v>
      </c>
      <c r="H129" s="22">
        <v>3500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55</v>
      </c>
      <c r="K129" s="2">
        <f>HearingAids[[#This Row],[HAListPrice]]-HearingAids[[#This Row],[Discount Amount 2]]</f>
        <v>1595</v>
      </c>
      <c r="L129" s="2">
        <v>3390</v>
      </c>
      <c r="M129" s="2"/>
      <c r="N129" s="2"/>
      <c r="O129" s="2"/>
      <c r="P129" s="22"/>
      <c r="Q129" s="23">
        <v>1</v>
      </c>
      <c r="R129" s="22" t="s">
        <v>9</v>
      </c>
      <c r="S129" s="22">
        <v>200</v>
      </c>
      <c r="T129" s="24" t="s">
        <v>26</v>
      </c>
      <c r="U129" s="25">
        <v>0</v>
      </c>
      <c r="V129" s="25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 hidden="1">
      <c r="A130" s="3" t="s">
        <v>413</v>
      </c>
      <c r="B130" s="37" t="s">
        <v>416</v>
      </c>
      <c r="C130" s="58">
        <f>(HearingAids[[#This Row],[haMSRP]]*2)+HearingAids[[#This Row],[chargerPrice]]</f>
        <v>11888</v>
      </c>
      <c r="D130" s="39">
        <v>5819</v>
      </c>
      <c r="E130" s="52" t="s">
        <v>538</v>
      </c>
      <c r="F130" s="39">
        <f>HearingAids[[#This Row],[haMSRP]]-((HearingAids[[#This Row],[ListPriceBinural]]-HearingAids[[#This Row],[chargerPrice]])/2)</f>
        <v>1019</v>
      </c>
      <c r="G130" s="39">
        <f>HearingAids[[#This Row],[haMSRP]]-HearingAids[[#This Row],[Discount Amount 1]]</f>
        <v>4800</v>
      </c>
      <c r="H130" s="2">
        <v>9850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1580</v>
      </c>
      <c r="K130" s="2">
        <f>HearingAids[[#This Row],[HAListPrice]]-HearingAids[[#This Row],[Discount Amount 2]]</f>
        <v>3220</v>
      </c>
      <c r="L130" s="2">
        <v>6690</v>
      </c>
      <c r="M130" s="2"/>
      <c r="N130" s="2"/>
      <c r="O130" s="2"/>
      <c r="P130" s="2"/>
      <c r="Q130" s="15">
        <v>1</v>
      </c>
      <c r="R130" s="2" t="s">
        <v>13</v>
      </c>
      <c r="S130" s="2">
        <v>250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 hidden="1">
      <c r="A131" s="3" t="s">
        <v>414</v>
      </c>
      <c r="B131" s="3" t="s">
        <v>417</v>
      </c>
      <c r="C131" s="60">
        <f>(HearingAids[[#This Row],[haMSRP]]*2)+HearingAids[[#This Row],[chargerPrice]]</f>
        <v>7628</v>
      </c>
      <c r="D131" s="39">
        <v>3689</v>
      </c>
      <c r="E131" s="52" t="s">
        <v>538</v>
      </c>
      <c r="F131" s="39">
        <f>HearingAids[[#This Row],[haMSRP]]-((HearingAids[[#This Row],[ListPriceBinural]]-HearingAids[[#This Row],[chargerPrice]])/2)</f>
        <v>219</v>
      </c>
      <c r="G131" s="39">
        <f>HearingAids[[#This Row],[haMSRP]]-HearingAids[[#This Row],[Discount Amount 1]]</f>
        <v>3470</v>
      </c>
      <c r="H131" s="2">
        <v>7190</v>
      </c>
      <c r="I131" s="4" t="s">
        <v>57</v>
      </c>
      <c r="J131" s="2">
        <f>(HearingAids[[#This Row],[haMSRP]]-HearingAids[[#This Row],[Discount Amount 1]])-(HearingAids[[#This Row],[haNetPriceBinural]]-HearingAids[[#This Row],[chargerPrice]])/2</f>
        <v>1150</v>
      </c>
      <c r="K131" s="2">
        <f>HearingAids[[#This Row],[HAListPrice]]-HearingAids[[#This Row],[Discount Amount 2]]</f>
        <v>2320</v>
      </c>
      <c r="L131" s="2">
        <v>4890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 hidden="1">
      <c r="A132" s="3" t="s">
        <v>415</v>
      </c>
      <c r="B132" s="3" t="s">
        <v>418</v>
      </c>
      <c r="C132" s="60">
        <f>(HearingAids[[#This Row],[haMSRP]]*2)+HearingAids[[#This Row],[chargerPrice]]</f>
        <v>9608</v>
      </c>
      <c r="D132" s="39">
        <v>4679</v>
      </c>
      <c r="E132" s="52" t="s">
        <v>538</v>
      </c>
      <c r="F132" s="39">
        <f>HearingAids[[#This Row],[haMSRP]]-((HearingAids[[#This Row],[ListPriceBinural]]-HearingAids[[#This Row],[chargerPrice]])/2)</f>
        <v>479</v>
      </c>
      <c r="G132" s="39">
        <f>HearingAids[[#This Row],[haMSRP]]-HearingAids[[#This Row],[Discount Amount 1]]</f>
        <v>4200</v>
      </c>
      <c r="H132" s="2">
        <v>8650</v>
      </c>
      <c r="I132" s="4" t="s">
        <v>57</v>
      </c>
      <c r="J132" s="2">
        <f>(HearingAids[[#This Row],[haMSRP]]-HearingAids[[#This Row],[Discount Amount 1]])-(HearingAids[[#This Row],[haNetPriceBinural]]-HearingAids[[#This Row],[chargerPrice]])/2</f>
        <v>1480</v>
      </c>
      <c r="K132" s="2">
        <f>HearingAids[[#This Row],[HAListPrice]]-HearingAids[[#This Row],[Discount Amount 2]]</f>
        <v>2720</v>
      </c>
      <c r="L132" s="2">
        <v>5690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 hidden="1">
      <c r="A133" s="38" t="s">
        <v>500</v>
      </c>
      <c r="B133" s="47" t="s">
        <v>507</v>
      </c>
      <c r="C133" s="57">
        <f>(HearingAids[[#This Row],[haMSRP]]*2)+HearingAids[[#This Row],[chargerPrice]]</f>
        <v>4878</v>
      </c>
      <c r="D133" s="39">
        <v>2339</v>
      </c>
      <c r="E133" s="52" t="s">
        <v>538</v>
      </c>
      <c r="F133" s="39">
        <f>HearingAids[[#This Row],[haMSRP]]-((HearingAids[[#This Row],[ListPriceBinural]]-HearingAids[[#This Row],[chargerPrice]])/2)</f>
        <v>689</v>
      </c>
      <c r="G133" s="39">
        <f>HearingAids[[#This Row],[haMSRP]]-HearingAids[[#This Row],[Discount Amount 1]]</f>
        <v>1650</v>
      </c>
      <c r="H133" s="22">
        <v>3500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55</v>
      </c>
      <c r="K133" s="2">
        <f>HearingAids[[#This Row],[HAListPrice]]-HearingAids[[#This Row],[Discount Amount 2]]</f>
        <v>1595</v>
      </c>
      <c r="L133" s="2">
        <v>3390</v>
      </c>
      <c r="M133" s="2"/>
      <c r="N133" s="2"/>
      <c r="O133" s="2"/>
      <c r="P133" s="22"/>
      <c r="Q133" s="15">
        <v>1</v>
      </c>
      <c r="R133" s="2" t="s">
        <v>9</v>
      </c>
      <c r="S133" s="2">
        <v>200</v>
      </c>
      <c r="T133" s="10" t="s">
        <v>26</v>
      </c>
      <c r="U133" s="7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 hidden="1">
      <c r="A134" s="3" t="s">
        <v>413</v>
      </c>
      <c r="B134" s="37" t="s">
        <v>416</v>
      </c>
      <c r="C134" s="58">
        <f>(HearingAids[[#This Row],[haMSRP]]*2)+HearingAids[[#This Row],[chargerPrice]]</f>
        <v>11888</v>
      </c>
      <c r="D134" s="39">
        <v>5819</v>
      </c>
      <c r="E134" s="52" t="s">
        <v>538</v>
      </c>
      <c r="F134" s="39">
        <f>HearingAids[[#This Row],[haMSRP]]-((HearingAids[[#This Row],[ListPriceBinural]]-HearingAids[[#This Row],[chargerPrice]])/2)</f>
        <v>1019</v>
      </c>
      <c r="G134" s="39">
        <f>HearingAids[[#This Row],[haMSRP]]-HearingAids[[#This Row],[Discount Amount 1]]</f>
        <v>4800</v>
      </c>
      <c r="H134" s="2">
        <v>9850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1580</v>
      </c>
      <c r="K134" s="2">
        <f>HearingAids[[#This Row],[HAListPrice]]-HearingAids[[#This Row],[Discount Amount 2]]</f>
        <v>3220</v>
      </c>
      <c r="L134" s="2">
        <v>6690</v>
      </c>
      <c r="M134" s="2"/>
      <c r="N134" s="2"/>
      <c r="O134" s="2"/>
      <c r="P134" s="2"/>
      <c r="Q134" s="15">
        <v>1</v>
      </c>
      <c r="R134" s="2" t="s">
        <v>13</v>
      </c>
      <c r="S134" s="2">
        <v>250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 hidden="1">
      <c r="A135" s="3" t="s">
        <v>414</v>
      </c>
      <c r="B135" s="3" t="s">
        <v>417</v>
      </c>
      <c r="C135" s="60">
        <f>(HearingAids[[#This Row],[haMSRP]]*2)+HearingAids[[#This Row],[chargerPrice]]</f>
        <v>7628</v>
      </c>
      <c r="D135" s="39">
        <v>3689</v>
      </c>
      <c r="E135" s="52" t="s">
        <v>538</v>
      </c>
      <c r="F135" s="39">
        <f>HearingAids[[#This Row],[haMSRP]]-((HearingAids[[#This Row],[ListPriceBinural]]-HearingAids[[#This Row],[chargerPrice]])/2)</f>
        <v>219</v>
      </c>
      <c r="G135" s="39">
        <f>HearingAids[[#This Row],[haMSRP]]-HearingAids[[#This Row],[Discount Amount 1]]</f>
        <v>3470</v>
      </c>
      <c r="H135" s="2">
        <v>7190</v>
      </c>
      <c r="I135" s="4" t="s">
        <v>58</v>
      </c>
      <c r="J135" s="2">
        <f>(HearingAids[[#This Row],[haMSRP]]-HearingAids[[#This Row],[Discount Amount 1]])-(HearingAids[[#This Row],[haNetPriceBinural]]-HearingAids[[#This Row],[chargerPrice]])/2</f>
        <v>1150</v>
      </c>
      <c r="K135" s="2">
        <f>HearingAids[[#This Row],[HAListPrice]]-HearingAids[[#This Row],[Discount Amount 2]]</f>
        <v>2320</v>
      </c>
      <c r="L135" s="2">
        <v>4890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 hidden="1">
      <c r="A136" s="3" t="s">
        <v>415</v>
      </c>
      <c r="B136" s="3" t="s">
        <v>418</v>
      </c>
      <c r="C136" s="60">
        <f>(HearingAids[[#This Row],[haMSRP]]*2)+HearingAids[[#This Row],[chargerPrice]]</f>
        <v>9608</v>
      </c>
      <c r="D136" s="39">
        <v>4679</v>
      </c>
      <c r="E136" s="52" t="s">
        <v>538</v>
      </c>
      <c r="F136" s="39">
        <f>HearingAids[[#This Row],[haMSRP]]-((HearingAids[[#This Row],[ListPriceBinural]]-HearingAids[[#This Row],[chargerPrice]])/2)</f>
        <v>479</v>
      </c>
      <c r="G136" s="39">
        <f>HearingAids[[#This Row],[haMSRP]]-HearingAids[[#This Row],[Discount Amount 1]]</f>
        <v>4200</v>
      </c>
      <c r="H136" s="2">
        <v>8650</v>
      </c>
      <c r="I136" s="4" t="s">
        <v>58</v>
      </c>
      <c r="J136" s="2">
        <f>(HearingAids[[#This Row],[haMSRP]]-HearingAids[[#This Row],[Discount Amount 1]])-(HearingAids[[#This Row],[haNetPriceBinural]]-HearingAids[[#This Row],[chargerPrice]])/2</f>
        <v>1480</v>
      </c>
      <c r="K136" s="2">
        <f>HearingAids[[#This Row],[HAListPrice]]-HearingAids[[#This Row],[Discount Amount 2]]</f>
        <v>2720</v>
      </c>
      <c r="L136" s="2">
        <v>5690</v>
      </c>
      <c r="M136" s="2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 hidden="1">
      <c r="A137" s="38" t="s">
        <v>500</v>
      </c>
      <c r="B137" s="47" t="s">
        <v>507</v>
      </c>
      <c r="C137" s="57">
        <f>(HearingAids[[#This Row],[haMSRP]]*2)+HearingAids[[#This Row],[chargerPrice]]</f>
        <v>4878</v>
      </c>
      <c r="D137" s="39">
        <v>2339</v>
      </c>
      <c r="E137" s="52" t="s">
        <v>538</v>
      </c>
      <c r="F137" s="39">
        <f>HearingAids[[#This Row],[haMSRP]]-((HearingAids[[#This Row],[ListPriceBinural]]-HearingAids[[#This Row],[chargerPrice]])/2)</f>
        <v>689</v>
      </c>
      <c r="G137" s="39">
        <f>HearingAids[[#This Row],[haMSRP]]-HearingAids[[#This Row],[Discount Amount 1]]</f>
        <v>1650</v>
      </c>
      <c r="H137" s="22">
        <v>3500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55</v>
      </c>
      <c r="K137" s="2">
        <f>HearingAids[[#This Row],[HAListPrice]]-HearingAids[[#This Row],[Discount Amount 2]]</f>
        <v>1595</v>
      </c>
      <c r="L137" s="2">
        <v>3390</v>
      </c>
      <c r="M137" s="2"/>
      <c r="N137" s="2"/>
      <c r="O137" s="2"/>
      <c r="P137" s="22"/>
      <c r="Q137" s="23">
        <v>1</v>
      </c>
      <c r="R137" s="22" t="s">
        <v>9</v>
      </c>
      <c r="S137" s="22">
        <v>200</v>
      </c>
      <c r="T137" s="24" t="s">
        <v>26</v>
      </c>
      <c r="U137" s="25">
        <v>0</v>
      </c>
      <c r="V137" s="25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 hidden="1">
      <c r="A138" s="3" t="s">
        <v>413</v>
      </c>
      <c r="B138" s="37" t="s">
        <v>416</v>
      </c>
      <c r="C138" s="58">
        <f>(HearingAids[[#This Row],[haMSRP]]*2)+HearingAids[[#This Row],[chargerPrice]]</f>
        <v>11888</v>
      </c>
      <c r="D138" s="39">
        <v>5819</v>
      </c>
      <c r="E138" s="52" t="s">
        <v>538</v>
      </c>
      <c r="F138" s="39">
        <f>HearingAids[[#This Row],[haMSRP]]-((HearingAids[[#This Row],[ListPriceBinural]]-HearingAids[[#This Row],[chargerPrice]])/2)</f>
        <v>1019</v>
      </c>
      <c r="G138" s="39">
        <f>HearingAids[[#This Row],[haMSRP]]-HearingAids[[#This Row],[Discount Amount 1]]</f>
        <v>4800</v>
      </c>
      <c r="H138" s="2">
        <v>9850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1580</v>
      </c>
      <c r="K138" s="2">
        <f>HearingAids[[#This Row],[HAListPrice]]-HearingAids[[#This Row],[Discount Amount 2]]</f>
        <v>3220</v>
      </c>
      <c r="L138" s="2">
        <v>6690</v>
      </c>
      <c r="M138" s="2"/>
      <c r="N138" s="2"/>
      <c r="O138" s="2"/>
      <c r="P138" s="2"/>
      <c r="Q138" s="15">
        <v>1</v>
      </c>
      <c r="R138" s="2" t="s">
        <v>13</v>
      </c>
      <c r="S138" s="2">
        <v>250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 hidden="1">
      <c r="A139" s="3" t="s">
        <v>414</v>
      </c>
      <c r="B139" s="3" t="s">
        <v>417</v>
      </c>
      <c r="C139" s="60">
        <f>(HearingAids[[#This Row],[haMSRP]]*2)+HearingAids[[#This Row],[chargerPrice]]</f>
        <v>7628</v>
      </c>
      <c r="D139" s="39">
        <v>3689</v>
      </c>
      <c r="E139" s="52" t="s">
        <v>538</v>
      </c>
      <c r="F139" s="39">
        <f>HearingAids[[#This Row],[haMSRP]]-((HearingAids[[#This Row],[ListPriceBinural]]-HearingAids[[#This Row],[chargerPrice]])/2)</f>
        <v>219</v>
      </c>
      <c r="G139" s="39">
        <f>HearingAids[[#This Row],[haMSRP]]-HearingAids[[#This Row],[Discount Amount 1]]</f>
        <v>3470</v>
      </c>
      <c r="H139" s="2">
        <v>7190</v>
      </c>
      <c r="I139" s="4" t="s">
        <v>59</v>
      </c>
      <c r="J139" s="2">
        <f>(HearingAids[[#This Row],[haMSRP]]-HearingAids[[#This Row],[Discount Amount 1]])-(HearingAids[[#This Row],[haNetPriceBinural]]-HearingAids[[#This Row],[chargerPrice]])/2</f>
        <v>1150</v>
      </c>
      <c r="K139" s="2">
        <f>HearingAids[[#This Row],[HAListPrice]]-HearingAids[[#This Row],[Discount Amount 2]]</f>
        <v>2320</v>
      </c>
      <c r="L139" s="2">
        <v>4890</v>
      </c>
      <c r="M139" s="71"/>
      <c r="N139" s="2"/>
      <c r="O139" s="2"/>
      <c r="P139" s="2"/>
      <c r="Q139" s="15">
        <v>1</v>
      </c>
      <c r="R139" s="2" t="s">
        <v>13</v>
      </c>
      <c r="S139" s="2">
        <v>250</v>
      </c>
      <c r="T139" s="11" t="s">
        <v>14</v>
      </c>
      <c r="U139" s="2">
        <v>0</v>
      </c>
      <c r="V139" s="12" t="s">
        <v>11</v>
      </c>
      <c r="W139" s="7"/>
      <c r="Y139" s="25"/>
      <c r="Z139" s="25"/>
      <c r="AA139" s="25"/>
      <c r="AB139"/>
      <c r="AC139"/>
      <c r="AD139"/>
      <c r="AE139"/>
    </row>
    <row r="140" spans="1:31" ht="12.75" hidden="1">
      <c r="A140" s="3" t="s">
        <v>415</v>
      </c>
      <c r="B140" s="3" t="s">
        <v>418</v>
      </c>
      <c r="C140" s="60">
        <f>(HearingAids[[#This Row],[haMSRP]]*2)+HearingAids[[#This Row],[chargerPrice]]</f>
        <v>9608</v>
      </c>
      <c r="D140" s="39">
        <v>4679</v>
      </c>
      <c r="E140" s="52" t="s">
        <v>538</v>
      </c>
      <c r="F140" s="39">
        <f>HearingAids[[#This Row],[haMSRP]]-((HearingAids[[#This Row],[ListPriceBinural]]-HearingAids[[#This Row],[chargerPrice]])/2)</f>
        <v>479</v>
      </c>
      <c r="G140" s="39">
        <f>HearingAids[[#This Row],[haMSRP]]-HearingAids[[#This Row],[Discount Amount 1]]</f>
        <v>4200</v>
      </c>
      <c r="H140" s="2">
        <v>8650</v>
      </c>
      <c r="I140" s="4" t="s">
        <v>59</v>
      </c>
      <c r="J140" s="2">
        <f>(HearingAids[[#This Row],[haMSRP]]-HearingAids[[#This Row],[Discount Amount 1]])-(HearingAids[[#This Row],[haNetPriceBinural]]-HearingAids[[#This Row],[chargerPrice]])/2</f>
        <v>1480</v>
      </c>
      <c r="K140" s="2">
        <f>HearingAids[[#This Row],[HAListPrice]]-HearingAids[[#This Row],[Discount Amount 2]]</f>
        <v>2720</v>
      </c>
      <c r="L140" s="2">
        <v>5690</v>
      </c>
      <c r="M140" s="71"/>
      <c r="N140" s="2"/>
      <c r="O140" s="2"/>
      <c r="P140" s="2"/>
      <c r="Q140" s="15">
        <v>1</v>
      </c>
      <c r="R140" s="2" t="s">
        <v>13</v>
      </c>
      <c r="S140" s="2">
        <v>250</v>
      </c>
      <c r="T140" s="11" t="s">
        <v>14</v>
      </c>
      <c r="U140" s="2">
        <v>0</v>
      </c>
      <c r="V140" s="12" t="s">
        <v>11</v>
      </c>
      <c r="W140" s="7"/>
      <c r="Y140" s="25"/>
      <c r="Z140" s="25"/>
      <c r="AA140" s="25"/>
      <c r="AB140"/>
      <c r="AC140"/>
      <c r="AD140"/>
      <c r="AE140"/>
    </row>
    <row r="141" spans="1:31" ht="12.75" hidden="1">
      <c r="A141" s="99" t="s">
        <v>617</v>
      </c>
      <c r="B141" s="100" t="s">
        <v>618</v>
      </c>
      <c r="C141" s="60">
        <f>(HearingAids[[#This Row],[haMSRP]]*2)+HearingAids[[#This Row],[chargerPrice]]</f>
        <v>6258</v>
      </c>
      <c r="D141" s="102">
        <v>3029</v>
      </c>
      <c r="E141" s="102" t="s">
        <v>538</v>
      </c>
      <c r="F141" s="39">
        <f>HearingAids[[#This Row],[haMSRP]]-((HearingAids[[#This Row],[ListPriceBinural]]-HearingAids[[#This Row],[chargerPrice]])/2)</f>
        <v>804</v>
      </c>
      <c r="G141" s="39">
        <f>HearingAids[[#This Row],[haMSRP]]-HearingAids[[#This Row],[Discount Amount 1]]</f>
        <v>2225</v>
      </c>
      <c r="H141" s="2">
        <v>4650</v>
      </c>
      <c r="I141" s="103" t="s">
        <v>597</v>
      </c>
      <c r="J141" s="2">
        <f>(HearingAids[[#This Row],[haMSRP]]-HearingAids[[#This Row],[Discount Amount 1]])-(HearingAids[[#This Row],[haNetPriceBinural]]-HearingAids[[#This Row],[chargerPrice]])/2</f>
        <v>2325</v>
      </c>
      <c r="K141" s="2">
        <f>HearingAids[[#This Row],[HAListPrice]]-HearingAids[[#This Row],[Discount Amount 2]]</f>
        <v>-100</v>
      </c>
      <c r="L141" s="102"/>
      <c r="M141" s="102"/>
      <c r="N141" s="2">
        <f>HearingAids[[#This Row],[haNetPrice]]-((HearingAids[[#This Row],[haNetPriceBinural2]]-HearingAids[[#This Row],[chargerPrice]])/2)</f>
        <v>0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/>
      <c r="U141" s="105"/>
      <c r="V141" s="106"/>
      <c r="X141" s="2"/>
      <c r="Y141" s="2"/>
      <c r="Z141" s="2"/>
      <c r="AA141" s="2"/>
      <c r="AB141" s="2"/>
      <c r="AC141" s="2"/>
      <c r="AD141" s="2"/>
    </row>
    <row r="142" spans="1:31" ht="12.75" hidden="1">
      <c r="A142" s="99" t="s">
        <v>619</v>
      </c>
      <c r="B142" s="101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2">
        <v>9850</v>
      </c>
      <c r="I142" s="103" t="s">
        <v>28</v>
      </c>
      <c r="J142" s="2"/>
      <c r="K142" s="2">
        <f>HearingAids[[#This Row],[HAListPrice]]-HearingAids[[#This Row],[Discount Amount 2]]</f>
        <v>4825</v>
      </c>
      <c r="L142" s="102">
        <v>9900</v>
      </c>
      <c r="M142" s="102"/>
      <c r="N142" s="2">
        <f>HearingAids[[#This Row],[haNetPrice]]-((HearingAids[[#This Row],[haNetPriceBinural2]]-HearingAids[[#This Row],[chargerPrice]])/2)</f>
        <v>4925</v>
      </c>
      <c r="O142" s="102">
        <f>HearingAids[[#This Row],[haNetPrice]]-HearingAids[[#This Row],[Discount Amount 3]]</f>
        <v>-100</v>
      </c>
      <c r="P142" s="102"/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2"/>
    </row>
    <row r="143" spans="1:31" ht="12.75" hidden="1">
      <c r="A143" s="99" t="s">
        <v>621</v>
      </c>
      <c r="B143" s="100" t="s">
        <v>622</v>
      </c>
      <c r="C143" s="60">
        <f>(HearingAids[[#This Row],[haMSRP]]*2)+HearingAids[[#This Row],[chargerPrice]]</f>
        <v>7578</v>
      </c>
      <c r="D143" s="102">
        <v>3689</v>
      </c>
      <c r="E143" s="102" t="s">
        <v>538</v>
      </c>
      <c r="F143" s="39">
        <f>HearingAids[[#This Row],[haMSRP]]-((HearingAids[[#This Row],[ListPriceBinural]]-HearingAids[[#This Row],[chargerPrice]])/2)</f>
        <v>194</v>
      </c>
      <c r="G143" s="39">
        <f>HearingAids[[#This Row],[haMSRP]]-HearingAids[[#This Row],[Discount Amount 1]]</f>
        <v>3495</v>
      </c>
      <c r="H143" s="2">
        <v>7190</v>
      </c>
      <c r="I143" s="103" t="s">
        <v>28</v>
      </c>
      <c r="J143" s="2"/>
      <c r="K143" s="2">
        <f>HearingAids[[#This Row],[HAListPrice]]-HearingAids[[#This Row],[Discount Amount 2]]</f>
        <v>3495</v>
      </c>
      <c r="L143" s="102">
        <v>7240</v>
      </c>
      <c r="M143" s="102"/>
      <c r="N143" s="2">
        <f>HearingAids[[#This Row],[haNetPrice]]-((HearingAids[[#This Row],[haNetPriceBinural2]]-HearingAids[[#This Row],[chargerPrice]])/2)</f>
        <v>3595</v>
      </c>
      <c r="O143" s="102">
        <f>HearingAids[[#This Row],[haNetPrice]]-HearingAids[[#This Row],[Discount Amount 3]]</f>
        <v>-100</v>
      </c>
      <c r="P143" s="102"/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2.75" hidden="1">
      <c r="A144" s="99" t="s">
        <v>623</v>
      </c>
      <c r="B144" s="101" t="s">
        <v>624</v>
      </c>
      <c r="C144" s="60">
        <f>(HearingAids[[#This Row],[haMSRP]]*2)+HearingAids[[#This Row],[chargerPrice]]</f>
        <v>9558</v>
      </c>
      <c r="D144" s="102">
        <v>4679</v>
      </c>
      <c r="E144" s="102" t="s">
        <v>538</v>
      </c>
      <c r="F144" s="39">
        <f>HearingAids[[#This Row],[haMSRP]]-((HearingAids[[#This Row],[ListPriceBinural]]-HearingAids[[#This Row],[chargerPrice]])/2)</f>
        <v>454</v>
      </c>
      <c r="G144" s="39">
        <f>HearingAids[[#This Row],[haMSRP]]-HearingAids[[#This Row],[Discount Amount 1]]</f>
        <v>4225</v>
      </c>
      <c r="H144" s="2">
        <v>8650</v>
      </c>
      <c r="I144" s="103" t="s">
        <v>28</v>
      </c>
      <c r="J144" s="2"/>
      <c r="K144" s="2">
        <f>HearingAids[[#This Row],[HAListPrice]]-HearingAids[[#This Row],[Discount Amount 2]]</f>
        <v>4225</v>
      </c>
      <c r="L144" s="102">
        <v>8700</v>
      </c>
      <c r="M144" s="102"/>
      <c r="N144" s="2">
        <f>HearingAids[[#This Row],[haNetPrice]]-((HearingAids[[#This Row],[haNetPriceBinural2]]-HearingAids[[#This Row],[chargerPrice]])/2)</f>
        <v>4325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2.75" hidden="1">
      <c r="A145" s="99" t="s">
        <v>619</v>
      </c>
      <c r="B145" s="100" t="s">
        <v>620</v>
      </c>
      <c r="C145" s="60">
        <f>(HearingAids[[#This Row],[haMSRP]]*2)+HearingAids[[#This Row],[chargerPrice]]</f>
        <v>11838</v>
      </c>
      <c r="D145" s="102">
        <v>5819</v>
      </c>
      <c r="E145" s="102" t="s">
        <v>538</v>
      </c>
      <c r="F145" s="39">
        <f>HearingAids[[#This Row],[haMSRP]]-((HearingAids[[#This Row],[ListPriceBinural]]-HearingAids[[#This Row],[chargerPrice]])/2)</f>
        <v>994</v>
      </c>
      <c r="G145" s="39">
        <f>HearingAids[[#This Row],[haMSRP]]-HearingAids[[#This Row],[Discount Amount 1]]</f>
        <v>4825</v>
      </c>
      <c r="H145" s="2">
        <v>9850</v>
      </c>
      <c r="I145" s="103" t="s">
        <v>625</v>
      </c>
      <c r="J145" s="2">
        <f>(HearingAids[[#This Row],[haMSRP]]-HearingAids[[#This Row],[Discount Amount 1]])-(HearingAids[[#This Row],[haNetPriceBinural]]-HearingAids[[#This Row],[chargerPrice]])/2</f>
        <v>225</v>
      </c>
      <c r="K145" s="2">
        <f>HearingAids[[#This Row],[HAListPrice]]-HearingAids[[#This Row],[Discount Amount 2]]</f>
        <v>4600</v>
      </c>
      <c r="L145" s="102">
        <v>9400</v>
      </c>
      <c r="M145" s="103" t="s">
        <v>539</v>
      </c>
      <c r="N145" s="2">
        <f>HearingAids[[#This Row],[haNetPrice]]-((HearingAids[[#This Row],[haNetPriceBinural2]]-HearingAids[[#This Row],[chargerPrice]])/2)</f>
        <v>525</v>
      </c>
      <c r="O145" s="103">
        <v>4050</v>
      </c>
      <c r="P145" s="102">
        <v>8350</v>
      </c>
      <c r="Q145" s="104">
        <v>1</v>
      </c>
      <c r="R145" s="104" t="s">
        <v>9</v>
      </c>
      <c r="S145" s="2">
        <v>200</v>
      </c>
      <c r="T145" s="105" t="s">
        <v>14</v>
      </c>
      <c r="U145" s="105">
        <v>0</v>
      </c>
      <c r="V145" s="106" t="s">
        <v>11</v>
      </c>
      <c r="X145" s="2"/>
      <c r="Y145" s="2"/>
      <c r="Z145" s="2"/>
      <c r="AA145" s="2"/>
      <c r="AB145" s="2"/>
      <c r="AC145" s="2"/>
      <c r="AD145" s="8"/>
    </row>
    <row r="146" spans="1:31" ht="12.75" hidden="1">
      <c r="A146" s="99" t="s">
        <v>623</v>
      </c>
      <c r="B146" s="101" t="s">
        <v>624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2">
        <v>8650</v>
      </c>
      <c r="I146" s="103" t="s">
        <v>625</v>
      </c>
      <c r="J146" s="2">
        <f>(HearingAids[[#This Row],[haMSRP]]-HearingAids[[#This Row],[Discount Amount 1]])-(HearingAids[[#This Row],[haNetPriceBinural]]-HearingAids[[#This Row],[chargerPrice]])/2</f>
        <v>225</v>
      </c>
      <c r="K146" s="2">
        <f>HearingAids[[#This Row],[HAListPrice]]-HearingAids[[#This Row],[Discount Amount 2]]</f>
        <v>4000</v>
      </c>
      <c r="L146" s="102">
        <v>8200</v>
      </c>
      <c r="M146" s="103" t="s">
        <v>539</v>
      </c>
      <c r="N146" s="2">
        <f>HearingAids[[#This Row],[haNetPrice]]-((HearingAids[[#This Row],[haNetPriceBinural2]]-HearingAids[[#This Row],[chargerPrice]])/2)</f>
        <v>525</v>
      </c>
      <c r="O146" s="103">
        <v>3450</v>
      </c>
      <c r="P146" s="102">
        <v>7150</v>
      </c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</row>
    <row r="147" spans="1:31" ht="12.75" hidden="1">
      <c r="A147" s="99" t="s">
        <v>619</v>
      </c>
      <c r="B147" s="100" t="s">
        <v>620</v>
      </c>
      <c r="C147" s="60">
        <f>(HearingAids[[#This Row],[haMSRP]]*2)+HearingAids[[#This Row],[chargerPrice]]</f>
        <v>11838</v>
      </c>
      <c r="D147" s="102">
        <v>5819</v>
      </c>
      <c r="E147" s="102" t="s">
        <v>538</v>
      </c>
      <c r="F147" s="39">
        <f>HearingAids[[#This Row],[haMSRP]]-((HearingAids[[#This Row],[ListPriceBinural]]-HearingAids[[#This Row],[chargerPrice]])/2)</f>
        <v>994</v>
      </c>
      <c r="G147" s="39">
        <f>HearingAids[[#This Row],[haMSRP]]-HearingAids[[#This Row],[Discount Amount 1]]</f>
        <v>4825</v>
      </c>
      <c r="H147" s="2">
        <v>9850</v>
      </c>
      <c r="I147" s="103" t="s">
        <v>177</v>
      </c>
      <c r="J147" s="2"/>
      <c r="K147" s="2">
        <f>HearingAids[[#This Row],[HAListPrice]]-HearingAids[[#This Row],[Discount Amount 2]]</f>
        <v>4825</v>
      </c>
      <c r="L147" s="102">
        <v>9900</v>
      </c>
      <c r="M147" s="102"/>
      <c r="N147" s="2">
        <f>HearingAids[[#This Row],[haNetPrice]]-((HearingAids[[#This Row],[haNetPriceBinural2]]-HearingAids[[#This Row],[chargerPrice]])/2)</f>
        <v>4925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8"/>
    </row>
    <row r="148" spans="1:31" ht="12.75" hidden="1">
      <c r="A148" s="99" t="s">
        <v>617</v>
      </c>
      <c r="B148" s="101" t="s">
        <v>618</v>
      </c>
      <c r="C148" s="60">
        <f>(HearingAids[[#This Row],[haMSRP]]*2)+HearingAids[[#This Row],[chargerPrice]]</f>
        <v>6258</v>
      </c>
      <c r="D148" s="102">
        <v>3029</v>
      </c>
      <c r="E148" s="102" t="s">
        <v>538</v>
      </c>
      <c r="F148" s="39">
        <f>HearingAids[[#This Row],[haMSRP]]-((HearingAids[[#This Row],[ListPriceBinural]]-HearingAids[[#This Row],[chargerPrice]])/2)</f>
        <v>804</v>
      </c>
      <c r="G148" s="39">
        <f>HearingAids[[#This Row],[haMSRP]]-HearingAids[[#This Row],[Discount Amount 1]]</f>
        <v>2225</v>
      </c>
      <c r="H148" s="2">
        <v>4650</v>
      </c>
      <c r="I148" s="103" t="s">
        <v>177</v>
      </c>
      <c r="J148" s="2"/>
      <c r="K148" s="2">
        <f>HearingAids[[#This Row],[HAListPrice]]-HearingAids[[#This Row],[Discount Amount 2]]</f>
        <v>2225</v>
      </c>
      <c r="L148" s="102">
        <v>4700</v>
      </c>
      <c r="M148" s="102"/>
      <c r="N148" s="2">
        <f>HearingAids[[#This Row],[haNetPrice]]-((HearingAids[[#This Row],[haNetPriceBinural2]]-HearingAids[[#This Row],[chargerPrice]])/2)</f>
        <v>2325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/>
      <c r="U148" s="105"/>
      <c r="V148" s="106"/>
      <c r="X148" s="2"/>
      <c r="Y148" s="2"/>
      <c r="Z148" s="2"/>
      <c r="AA148" s="2"/>
      <c r="AB148" s="2"/>
      <c r="AC148" s="2"/>
      <c r="AD148" s="8"/>
    </row>
    <row r="149" spans="1:31" ht="12.75" hidden="1">
      <c r="A149" s="99" t="s">
        <v>623</v>
      </c>
      <c r="B149" s="100" t="s">
        <v>622</v>
      </c>
      <c r="C149" s="60">
        <f>(HearingAids[[#This Row],[haMSRP]]*2)+HearingAids[[#This Row],[chargerPrice]]</f>
        <v>9558</v>
      </c>
      <c r="D149" s="102">
        <v>4679</v>
      </c>
      <c r="E149" s="102" t="s">
        <v>538</v>
      </c>
      <c r="F149" s="39">
        <f>HearingAids[[#This Row],[haMSRP]]-((HearingAids[[#This Row],[ListPriceBinural]]-HearingAids[[#This Row],[chargerPrice]])/2)</f>
        <v>454</v>
      </c>
      <c r="G149" s="39">
        <f>HearingAids[[#This Row],[haMSRP]]-HearingAids[[#This Row],[Discount Amount 1]]</f>
        <v>4225</v>
      </c>
      <c r="H149" s="2">
        <v>8650</v>
      </c>
      <c r="I149" s="103" t="s">
        <v>177</v>
      </c>
      <c r="J149" s="2"/>
      <c r="K149" s="2">
        <f>HearingAids[[#This Row],[HAListPrice]]-HearingAids[[#This Row],[Discount Amount 2]]</f>
        <v>4225</v>
      </c>
      <c r="L149" s="102">
        <v>8700</v>
      </c>
      <c r="M149" s="102"/>
      <c r="N149" s="2">
        <f>HearingAids[[#This Row],[haNetPrice]]-((HearingAids[[#This Row],[haNetPriceBinural2]]-HearingAids[[#This Row],[chargerPrice]])/2)</f>
        <v>4325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8"/>
      <c r="AE149" s="25"/>
    </row>
    <row r="150" spans="1:31" ht="12.75" hidden="1">
      <c r="A150" s="99" t="s">
        <v>621</v>
      </c>
      <c r="B150" s="101" t="s">
        <v>624</v>
      </c>
      <c r="C150" s="60">
        <f>(HearingAids[[#This Row],[haMSRP]]*2)+HearingAids[[#This Row],[chargerPrice]]</f>
        <v>7578</v>
      </c>
      <c r="D150" s="102">
        <v>3689</v>
      </c>
      <c r="E150" s="102" t="s">
        <v>538</v>
      </c>
      <c r="F150" s="39">
        <f>HearingAids[[#This Row],[haMSRP]]-((HearingAids[[#This Row],[ListPriceBinural]]-HearingAids[[#This Row],[chargerPrice]])/2)</f>
        <v>194</v>
      </c>
      <c r="G150" s="39">
        <f>HearingAids[[#This Row],[haMSRP]]-HearingAids[[#This Row],[Discount Amount 1]]</f>
        <v>3495</v>
      </c>
      <c r="H150" s="2">
        <v>7190</v>
      </c>
      <c r="I150" s="103" t="s">
        <v>177</v>
      </c>
      <c r="J150" s="2"/>
      <c r="K150" s="2">
        <f>HearingAids[[#This Row],[HAListPrice]]-HearingAids[[#This Row],[Discount Amount 2]]</f>
        <v>3495</v>
      </c>
      <c r="L150" s="102">
        <v>7240</v>
      </c>
      <c r="M150" s="102"/>
      <c r="N150" s="2">
        <f>HearingAids[[#This Row],[haNetPrice]]-((HearingAids[[#This Row],[haNetPriceBinural2]]-HearingAids[[#This Row],[chargerPrice]])/2)</f>
        <v>3595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  <c r="AE150" s="25"/>
    </row>
    <row r="151" spans="1:31" ht="12.75" hidden="1">
      <c r="A151" s="99" t="s">
        <v>619</v>
      </c>
      <c r="B151" s="100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2">
        <v>9850</v>
      </c>
      <c r="I151" s="103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4350</v>
      </c>
      <c r="L151" s="102">
        <v>8900</v>
      </c>
      <c r="M151" s="102"/>
      <c r="N151" s="2">
        <f>HearingAids[[#This Row],[haNetPrice]]-((HearingAids[[#This Row],[haNetPriceBinural2]]-HearingAids[[#This Row],[chargerPrice]])/2)</f>
        <v>4450</v>
      </c>
      <c r="O151" s="102">
        <f>HearingAids[[#This Row],[haNetPrice]]-HearingAids[[#This Row],[Discount Amount 3]]</f>
        <v>-100</v>
      </c>
      <c r="P151" s="102"/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  <c r="AE151" s="25"/>
    </row>
    <row r="152" spans="1:31" ht="12.75" hidden="1">
      <c r="A152" s="99" t="s">
        <v>621</v>
      </c>
      <c r="B152" s="101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2">
        <v>7190</v>
      </c>
      <c r="I152" s="103" t="s">
        <v>539</v>
      </c>
      <c r="J152" s="2">
        <f>(HearingAids[[#This Row],[haMSRP]]-HearingAids[[#This Row],[Discount Amount 1]])-(HearingAids[[#This Row],[haNetPriceBinural]]-HearingAids[[#This Row],[chargerPrice]])/2</f>
        <v>475</v>
      </c>
      <c r="K152" s="2">
        <f>HearingAids[[#This Row],[HAListPrice]]-HearingAids[[#This Row],[Discount Amount 2]]</f>
        <v>3020</v>
      </c>
      <c r="L152" s="102">
        <v>6240</v>
      </c>
      <c r="M152" s="102"/>
      <c r="N152" s="2">
        <f>HearingAids[[#This Row],[haNetPrice]]-((HearingAids[[#This Row],[haNetPriceBinural2]]-HearingAids[[#This Row],[chargerPrice]])/2)</f>
        <v>3120</v>
      </c>
      <c r="O152" s="102">
        <f>HearingAids[[#This Row],[haNetPrice]]-HearingAids[[#This Row],[Discount Amount 3]]</f>
        <v>-100</v>
      </c>
      <c r="P152" s="102"/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2.75" hidden="1">
      <c r="A153" s="99" t="s">
        <v>623</v>
      </c>
      <c r="B153" s="100" t="s">
        <v>624</v>
      </c>
      <c r="C153" s="60">
        <f>(HearingAids[[#This Row],[haMSRP]]*2)+HearingAids[[#This Row],[chargerPrice]]</f>
        <v>9558</v>
      </c>
      <c r="D153" s="102">
        <v>4679</v>
      </c>
      <c r="E153" s="102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2">
        <v>8650</v>
      </c>
      <c r="I153" s="103" t="s">
        <v>539</v>
      </c>
      <c r="J153" s="2">
        <f>(HearingAids[[#This Row],[haMSRP]]-HearingAids[[#This Row],[Discount Amount 1]])-(HearingAids[[#This Row],[haNetPriceBinural]]-HearingAids[[#This Row],[chargerPrice]])/2</f>
        <v>475</v>
      </c>
      <c r="K153" s="2">
        <f>HearingAids[[#This Row],[HAListPrice]]-HearingAids[[#This Row],[Discount Amount 2]]</f>
        <v>3750</v>
      </c>
      <c r="L153" s="102">
        <v>7700</v>
      </c>
      <c r="M153" s="102"/>
      <c r="N153" s="2">
        <f>HearingAids[[#This Row],[haNetPrice]]-((HearingAids[[#This Row],[haNetPriceBinural2]]-HearingAids[[#This Row],[chargerPrice]])/2)</f>
        <v>3850</v>
      </c>
      <c r="O153" s="102">
        <f>HearingAids[[#This Row],[haNetPrice]]-HearingAids[[#This Row],[Discount Amount 3]]</f>
        <v>-100</v>
      </c>
      <c r="P153" s="102"/>
      <c r="Q153" s="104">
        <v>1</v>
      </c>
      <c r="R153" s="104" t="s">
        <v>9</v>
      </c>
      <c r="S153" s="2">
        <v>200</v>
      </c>
      <c r="T153" s="105" t="s">
        <v>14</v>
      </c>
      <c r="U153" s="105">
        <v>0</v>
      </c>
      <c r="V153" s="106" t="s">
        <v>11</v>
      </c>
      <c r="X153" s="2"/>
      <c r="Y153" s="2"/>
      <c r="Z153" s="2"/>
      <c r="AA153" s="2"/>
      <c r="AB153" s="2"/>
      <c r="AC153" s="2"/>
      <c r="AD153" s="12"/>
    </row>
    <row r="154" spans="1:31" ht="12.75" hidden="1">
      <c r="A154" s="99" t="s">
        <v>619</v>
      </c>
      <c r="B154" s="101" t="s">
        <v>620</v>
      </c>
      <c r="C154" s="60">
        <f>(HearingAids[[#This Row],[haMSRP]]*2)+HearingAids[[#This Row],[chargerPrice]]</f>
        <v>11838</v>
      </c>
      <c r="D154" s="102">
        <v>5819</v>
      </c>
      <c r="E154" s="102" t="s">
        <v>538</v>
      </c>
      <c r="F154" s="39">
        <f>HearingAids[[#This Row],[haMSRP]]-((HearingAids[[#This Row],[ListPriceBinural]]-HearingAids[[#This Row],[chargerPrice]])/2)</f>
        <v>994</v>
      </c>
      <c r="G154" s="39">
        <f>HearingAids[[#This Row],[haMSRP]]-HearingAids[[#This Row],[Discount Amount 1]]</f>
        <v>4825</v>
      </c>
      <c r="H154" s="2">
        <v>9850</v>
      </c>
      <c r="I154" s="103" t="s">
        <v>421</v>
      </c>
      <c r="J154" s="2">
        <f>((HearingAids[[#This Row],[haMSRP]]-HearingAids[[#This Row],[Discount Amount 1]])-(HearingAids[[#This Row],[haNetPriceBinural]]-HearingAids[[#This Row],[chargerPrice]])/2)+500</f>
        <v>1100</v>
      </c>
      <c r="K154" s="2">
        <f>HearingAids[[#This Row],[HAListPrice]]-HearingAids[[#This Row],[Discount Amount 2]]</f>
        <v>3725</v>
      </c>
      <c r="L154" s="102">
        <v>8650</v>
      </c>
      <c r="M154" s="103"/>
      <c r="N154" s="2"/>
      <c r="O154" s="103">
        <v>3675</v>
      </c>
      <c r="P154" s="102">
        <v>7600</v>
      </c>
      <c r="Q154" s="104">
        <v>1</v>
      </c>
      <c r="R154" s="104" t="s">
        <v>9</v>
      </c>
      <c r="S154" s="2">
        <v>200</v>
      </c>
      <c r="T154" s="105" t="s">
        <v>14</v>
      </c>
      <c r="U154" s="105">
        <v>0</v>
      </c>
      <c r="V154" s="106" t="s">
        <v>11</v>
      </c>
      <c r="X154" s="2"/>
      <c r="Y154" s="2"/>
      <c r="Z154" s="2"/>
      <c r="AA154" s="2"/>
      <c r="AB154" s="2"/>
      <c r="AC154" s="2"/>
      <c r="AD154" s="12"/>
    </row>
    <row r="155" spans="1:31" ht="12.75" hidden="1">
      <c r="A155" s="99" t="s">
        <v>621</v>
      </c>
      <c r="B155" s="100" t="s">
        <v>622</v>
      </c>
      <c r="C155" s="60">
        <f>(HearingAids[[#This Row],[haMSRP]]*2)+HearingAids[[#This Row],[chargerPrice]]</f>
        <v>7578</v>
      </c>
      <c r="D155" s="102">
        <v>3689</v>
      </c>
      <c r="E155" s="102" t="s">
        <v>538</v>
      </c>
      <c r="F155" s="39">
        <f>HearingAids[[#This Row],[haMSRP]]-((HearingAids[[#This Row],[ListPriceBinural]]-HearingAids[[#This Row],[chargerPrice]])/2)</f>
        <v>194</v>
      </c>
      <c r="G155" s="39">
        <f>HearingAids[[#This Row],[haMSRP]]-HearingAids[[#This Row],[Discount Amount 1]]</f>
        <v>3495</v>
      </c>
      <c r="H155" s="2">
        <v>7190</v>
      </c>
      <c r="I155" s="103" t="s">
        <v>421</v>
      </c>
      <c r="J155" s="2">
        <f>((HearingAids[[#This Row],[haMSRP]]-HearingAids[[#This Row],[Discount Amount 1]])-(HearingAids[[#This Row],[haNetPriceBinural]]-HearingAids[[#This Row],[chargerPrice]])/2)+500</f>
        <v>670</v>
      </c>
      <c r="K155" s="2">
        <f>HearingAids[[#This Row],[HAListPrice]]-HearingAids[[#This Row],[Discount Amount 2]]</f>
        <v>2825</v>
      </c>
      <c r="L155" s="102">
        <v>6850</v>
      </c>
      <c r="M155" s="103"/>
      <c r="N155" s="2"/>
      <c r="O155" s="103">
        <v>2775</v>
      </c>
      <c r="P155" s="102">
        <v>5800</v>
      </c>
      <c r="Q155" s="104">
        <v>1</v>
      </c>
      <c r="R155" s="104" t="s">
        <v>9</v>
      </c>
      <c r="S155" s="2">
        <v>200</v>
      </c>
      <c r="T155" s="105" t="s">
        <v>14</v>
      </c>
      <c r="U155" s="105">
        <v>0</v>
      </c>
      <c r="V155" s="106" t="s">
        <v>11</v>
      </c>
      <c r="X155" s="2"/>
      <c r="Y155" s="2"/>
      <c r="Z155" s="2"/>
      <c r="AA155" s="2"/>
      <c r="AB155" s="2"/>
      <c r="AC155" s="2"/>
      <c r="AD155" s="12"/>
    </row>
    <row r="156" spans="1:31" ht="12.75" hidden="1">
      <c r="A156" s="107" t="s">
        <v>623</v>
      </c>
      <c r="B156" s="108" t="s">
        <v>624</v>
      </c>
      <c r="C156" s="60">
        <f>(HearingAids[[#This Row],[haMSRP]]*2)+HearingAids[[#This Row],[chargerPrice]]</f>
        <v>9558</v>
      </c>
      <c r="D156" s="109">
        <v>4679</v>
      </c>
      <c r="E156" s="109" t="s">
        <v>538</v>
      </c>
      <c r="F156" s="39">
        <f>HearingAids[[#This Row],[haMSRP]]-((HearingAids[[#This Row],[ListPriceBinural]]-HearingAids[[#This Row],[chargerPrice]])/2)</f>
        <v>454</v>
      </c>
      <c r="G156" s="39">
        <f>HearingAids[[#This Row],[haMSRP]]-HearingAids[[#This Row],[Discount Amount 1]]</f>
        <v>4225</v>
      </c>
      <c r="H156" s="2">
        <v>8650</v>
      </c>
      <c r="I156" s="110" t="s">
        <v>421</v>
      </c>
      <c r="J156" s="2">
        <f>((HearingAids[[#This Row],[haMSRP]]-HearingAids[[#This Row],[Discount Amount 1]])-(HearingAids[[#This Row],[haNetPriceBinural]]-HearingAids[[#This Row],[chargerPrice]])/2)+500</f>
        <v>1000</v>
      </c>
      <c r="K156" s="2">
        <f>HearingAids[[#This Row],[HAListPrice]]-HearingAids[[#This Row],[Discount Amount 2]]</f>
        <v>3225</v>
      </c>
      <c r="L156" s="109">
        <v>7650</v>
      </c>
      <c r="M156" s="110"/>
      <c r="N156" s="109"/>
      <c r="O156" s="110">
        <v>3175</v>
      </c>
      <c r="P156" s="109">
        <v>6600</v>
      </c>
      <c r="Q156" s="111">
        <v>1</v>
      </c>
      <c r="R156" s="111" t="s">
        <v>9</v>
      </c>
      <c r="S156" s="2">
        <v>200</v>
      </c>
      <c r="T156" s="112" t="s">
        <v>14</v>
      </c>
      <c r="U156" s="112">
        <v>0</v>
      </c>
      <c r="V156" s="113" t="s">
        <v>11</v>
      </c>
      <c r="X156" s="2"/>
      <c r="Y156" s="2"/>
      <c r="Z156" s="2"/>
      <c r="AA156" s="2"/>
      <c r="AB156" s="2"/>
      <c r="AC156" s="2"/>
      <c r="AD156" s="8"/>
    </row>
    <row r="157" spans="1:31" ht="12.75" hidden="1">
      <c r="A157" s="115" t="s">
        <v>500</v>
      </c>
      <c r="B157" s="115" t="s">
        <v>507</v>
      </c>
      <c r="C157" s="116">
        <f>(HearingAids[[#This Row],[haMSRP]]*2)+HearingAids[[#This Row],[chargerPrice]]</f>
        <v>4878</v>
      </c>
      <c r="D157" s="117">
        <v>2339</v>
      </c>
      <c r="E157" s="117" t="s">
        <v>538</v>
      </c>
      <c r="F157" s="117">
        <f>HearingAids[[#This Row],[haMSRP]]-((HearingAids[[#This Row],[ListPriceBinural]]-HearingAids[[#This Row],[chargerPrice]])/2)</f>
        <v>689</v>
      </c>
      <c r="G157" s="117">
        <f>HearingAids[[#This Row],[haMSRP]]-HearingAids[[#This Row],[Discount Amount 1]]</f>
        <v>1650</v>
      </c>
      <c r="H157" s="118">
        <v>3500</v>
      </c>
      <c r="I157" s="120" t="s">
        <v>627</v>
      </c>
      <c r="J157" s="121">
        <f>(HearingAids[[#This Row],[haMSRP]]-HearingAids[[#This Row],[Discount Amount 1]])-(HearingAids[[#This Row],[haNetPriceBinural]]-HearingAids[[#This Row],[chargerPrice]])/2</f>
        <v>55</v>
      </c>
      <c r="K157" s="121">
        <f>HearingAids[[#This Row],[HAListPrice]]-HearingAids[[#This Row],[Discount Amount 2]]</f>
        <v>1595</v>
      </c>
      <c r="L157" s="121">
        <v>3390</v>
      </c>
      <c r="M157" s="121"/>
      <c r="N157" s="121">
        <f>((HearingAids[[#This Row],[haNetPriceBinural]]-HearingAids[[#This Row],[chargerPrice]])/2)-HearingAids[[#This Row],[haNetPriceBinural2]]</f>
        <v>1595</v>
      </c>
      <c r="O157" s="121">
        <f>HearingAids[[#This Row],[haNetPrice]]-HearingAids[[#This Row],[Discount Amount 3]]</f>
        <v>0</v>
      </c>
      <c r="P157" s="117"/>
      <c r="Q157" s="122">
        <v>1</v>
      </c>
      <c r="R157" s="122" t="s">
        <v>9</v>
      </c>
      <c r="S157" s="122">
        <v>200</v>
      </c>
      <c r="T157" s="124" t="s">
        <v>26</v>
      </c>
      <c r="U157" s="124">
        <v>0</v>
      </c>
      <c r="V157" s="117" t="s">
        <v>11</v>
      </c>
      <c r="Y157" s="25"/>
      <c r="Z157" s="25"/>
      <c r="AA157" s="25"/>
      <c r="AB157"/>
      <c r="AC157"/>
      <c r="AD157"/>
      <c r="AE157"/>
    </row>
    <row r="158" spans="1:31" ht="12.75" hidden="1">
      <c r="A158" s="115" t="s">
        <v>413</v>
      </c>
      <c r="B158" s="115" t="s">
        <v>416</v>
      </c>
      <c r="C158" s="116">
        <f>(HearingAids[[#This Row],[haMSRP]]*2)+HearingAids[[#This Row],[chargerPrice]]</f>
        <v>11888</v>
      </c>
      <c r="D158" s="117">
        <v>5819</v>
      </c>
      <c r="E158" s="117" t="s">
        <v>538</v>
      </c>
      <c r="F158" s="117">
        <f>HearingAids[[#This Row],[haMSRP]]-((HearingAids[[#This Row],[ListPriceBinural]]-HearingAids[[#This Row],[chargerPrice]])/2)</f>
        <v>1019</v>
      </c>
      <c r="G158" s="117">
        <f>HearingAids[[#This Row],[haMSRP]]-HearingAids[[#This Row],[Discount Amount 1]]</f>
        <v>4800</v>
      </c>
      <c r="H158" s="119">
        <v>9850</v>
      </c>
      <c r="I158" s="120" t="s">
        <v>627</v>
      </c>
      <c r="J158" s="121">
        <f>(HearingAids[[#This Row],[haMSRP]]-HearingAids[[#This Row],[Discount Amount 1]])-(HearingAids[[#This Row],[haNetPriceBinural]]-HearingAids[[#This Row],[chargerPrice]])/2</f>
        <v>1580</v>
      </c>
      <c r="K158" s="121">
        <f>HearingAids[[#This Row],[HAListPrice]]-HearingAids[[#This Row],[Discount Amount 2]]</f>
        <v>3220</v>
      </c>
      <c r="L158" s="121">
        <v>6690</v>
      </c>
      <c r="M158" s="121"/>
      <c r="N158" s="121">
        <f>((HearingAids[[#This Row],[haNetPriceBinural]]-HearingAids[[#This Row],[chargerPrice]])/2)-HearingAids[[#This Row],[haNetPriceBinural2]]</f>
        <v>3220</v>
      </c>
      <c r="O158" s="121">
        <f>HearingAids[[#This Row],[haNetPrice]]-HearingAids[[#This Row],[Discount Amount 3]]</f>
        <v>0</v>
      </c>
      <c r="P158" s="121"/>
      <c r="Q158" s="123">
        <v>1</v>
      </c>
      <c r="R158" s="123" t="s">
        <v>13</v>
      </c>
      <c r="S158" s="123">
        <v>250</v>
      </c>
      <c r="T158" s="124" t="s">
        <v>14</v>
      </c>
      <c r="U158" s="125">
        <v>0</v>
      </c>
      <c r="V158" s="117" t="s">
        <v>11</v>
      </c>
      <c r="Y158" s="25"/>
      <c r="Z158" s="25"/>
      <c r="AA158" s="25"/>
      <c r="AB158"/>
      <c r="AC158"/>
      <c r="AD158"/>
      <c r="AE158"/>
    </row>
    <row r="159" spans="1:31" ht="12.75" hidden="1">
      <c r="A159" s="115" t="s">
        <v>414</v>
      </c>
      <c r="B159" s="115" t="s">
        <v>417</v>
      </c>
      <c r="C159" s="116">
        <f>(HearingAids[[#This Row],[haMSRP]]*2)+HearingAids[[#This Row],[chargerPrice]]</f>
        <v>7628</v>
      </c>
      <c r="D159" s="117">
        <v>3689</v>
      </c>
      <c r="E159" s="117" t="s">
        <v>538</v>
      </c>
      <c r="F159" s="117">
        <f>HearingAids[[#This Row],[haMSRP]]-((HearingAids[[#This Row],[ListPriceBinural]]-HearingAids[[#This Row],[chargerPrice]])/2)</f>
        <v>219</v>
      </c>
      <c r="G159" s="117">
        <f>HearingAids[[#This Row],[haMSRP]]-HearingAids[[#This Row],[Discount Amount 1]]</f>
        <v>3470</v>
      </c>
      <c r="H159" s="119">
        <v>7190</v>
      </c>
      <c r="I159" s="120" t="s">
        <v>627</v>
      </c>
      <c r="J159" s="121">
        <f>(HearingAids[[#This Row],[haMSRP]]-HearingAids[[#This Row],[Discount Amount 1]])-(HearingAids[[#This Row],[haNetPriceBinural]]-HearingAids[[#This Row],[chargerPrice]])/2</f>
        <v>1150</v>
      </c>
      <c r="K159" s="121">
        <f>HearingAids[[#This Row],[HAListPrice]]-HearingAids[[#This Row],[Discount Amount 2]]</f>
        <v>2320</v>
      </c>
      <c r="L159" s="121">
        <v>4890</v>
      </c>
      <c r="M159" s="121"/>
      <c r="N159" s="121">
        <f>((HearingAids[[#This Row],[haNetPriceBinural]]-HearingAids[[#This Row],[chargerPrice]])/2)-HearingAids[[#This Row],[haNetPriceBinural2]]</f>
        <v>2320</v>
      </c>
      <c r="O159" s="121">
        <f>HearingAids[[#This Row],[haNetPrice]]-HearingAids[[#This Row],[Discount Amount 3]]</f>
        <v>0</v>
      </c>
      <c r="P159" s="121"/>
      <c r="Q159" s="123">
        <v>1</v>
      </c>
      <c r="R159" s="123" t="s">
        <v>13</v>
      </c>
      <c r="S159" s="123">
        <v>250</v>
      </c>
      <c r="T159" s="124" t="s">
        <v>14</v>
      </c>
      <c r="U159" s="125">
        <v>0</v>
      </c>
      <c r="V159" s="117" t="s">
        <v>11</v>
      </c>
      <c r="Y159" s="25"/>
      <c r="Z159" s="25"/>
      <c r="AA159" s="25"/>
      <c r="AB159"/>
      <c r="AC159"/>
      <c r="AD159"/>
      <c r="AE159"/>
    </row>
    <row r="160" spans="1:31" ht="12.75" hidden="1">
      <c r="A160" s="115" t="s">
        <v>415</v>
      </c>
      <c r="B160" s="115" t="s">
        <v>418</v>
      </c>
      <c r="C160" s="116">
        <f>(HearingAids[[#This Row],[haMSRP]]*2)+HearingAids[[#This Row],[chargerPrice]]</f>
        <v>9608</v>
      </c>
      <c r="D160" s="117">
        <v>4679</v>
      </c>
      <c r="E160" s="117" t="s">
        <v>538</v>
      </c>
      <c r="F160" s="117">
        <f>HearingAids[[#This Row],[haMSRP]]-((HearingAids[[#This Row],[ListPriceBinural]]-HearingAids[[#This Row],[chargerPrice]])/2)</f>
        <v>479</v>
      </c>
      <c r="G160" s="117">
        <f>HearingAids[[#This Row],[haMSRP]]-HearingAids[[#This Row],[Discount Amount 1]]</f>
        <v>4200</v>
      </c>
      <c r="H160" s="119">
        <v>8650</v>
      </c>
      <c r="I160" s="120" t="s">
        <v>627</v>
      </c>
      <c r="J160" s="121">
        <f>(HearingAids[[#This Row],[haMSRP]]-HearingAids[[#This Row],[Discount Amount 1]])-(HearingAids[[#This Row],[haNetPriceBinural]]-HearingAids[[#This Row],[chargerPrice]])/2</f>
        <v>1480</v>
      </c>
      <c r="K160" s="121">
        <f>HearingAids[[#This Row],[HAListPrice]]-HearingAids[[#This Row],[Discount Amount 2]]</f>
        <v>2720</v>
      </c>
      <c r="L160" s="121">
        <v>5690</v>
      </c>
      <c r="M160" s="121"/>
      <c r="N160" s="121">
        <f>((HearingAids[[#This Row],[haNetPriceBinural]]-HearingAids[[#This Row],[chargerPrice]])/2)-HearingAids[[#This Row],[haNetPriceBinural2]]</f>
        <v>2720</v>
      </c>
      <c r="O160" s="121">
        <f>HearingAids[[#This Row],[haNetPrice]]-HearingAids[[#This Row],[Discount Amount 3]]</f>
        <v>0</v>
      </c>
      <c r="P160" s="121"/>
      <c r="Q160" s="123">
        <v>1</v>
      </c>
      <c r="R160" s="123" t="s">
        <v>13</v>
      </c>
      <c r="S160" s="123">
        <v>250</v>
      </c>
      <c r="T160" s="124" t="s">
        <v>14</v>
      </c>
      <c r="U160" s="125">
        <v>0</v>
      </c>
      <c r="V160" s="117" t="s">
        <v>11</v>
      </c>
      <c r="Y160" s="25"/>
      <c r="Z160" s="25"/>
      <c r="AA160" s="25"/>
      <c r="AB160"/>
      <c r="AC160"/>
      <c r="AD160"/>
      <c r="AE160"/>
    </row>
    <row r="161" spans="1:31" ht="12.75">
      <c r="A161" s="115" t="s">
        <v>496</v>
      </c>
      <c r="B161" s="115" t="s">
        <v>503</v>
      </c>
      <c r="C161" s="116">
        <f>(HearingAids[[#This Row],[haMSRP]]*2)+HearingAids[[#This Row],[chargerPrice]]</f>
        <v>11888</v>
      </c>
      <c r="D161" s="117">
        <v>5819</v>
      </c>
      <c r="E161" s="117" t="s">
        <v>538</v>
      </c>
      <c r="F161" s="117">
        <f>HearingAids[[#This Row],[haMSRP]]-((HearingAids[[#This Row],[ListPriceBinural]]-HearingAids[[#This Row],[chargerPrice]])/2)</f>
        <v>1019</v>
      </c>
      <c r="G161" s="117">
        <f>HearingAids[[#This Row],[haMSRP]]-HearingAids[[#This Row],[Discount Amount 1]]</f>
        <v>4800</v>
      </c>
      <c r="H161" s="119">
        <v>9850</v>
      </c>
      <c r="I161" s="120" t="s">
        <v>628</v>
      </c>
      <c r="J161" s="121">
        <v>1075</v>
      </c>
      <c r="K161" s="121">
        <f>HearingAids[[#This Row],[HAListPrice]]-HearingAids[[#This Row],[Discount Amount 2]]</f>
        <v>3725</v>
      </c>
      <c r="L161" s="121">
        <v>9350</v>
      </c>
      <c r="M161" s="126"/>
      <c r="N161" s="121"/>
      <c r="O161" s="120"/>
      <c r="P161" s="117">
        <v>7700</v>
      </c>
      <c r="Q161" s="122">
        <v>1</v>
      </c>
      <c r="R161" s="122" t="s">
        <v>13</v>
      </c>
      <c r="S161" s="122">
        <v>250</v>
      </c>
      <c r="T161" s="124" t="s">
        <v>14</v>
      </c>
      <c r="U161" s="124">
        <v>0</v>
      </c>
      <c r="V161" s="117" t="s">
        <v>11</v>
      </c>
      <c r="Y161" s="25"/>
      <c r="Z161" s="25"/>
      <c r="AA161" s="25"/>
      <c r="AB161"/>
      <c r="AC161"/>
      <c r="AD161"/>
      <c r="AE161"/>
    </row>
    <row r="162" spans="1:31" ht="12.75">
      <c r="A162" s="115" t="s">
        <v>497</v>
      </c>
      <c r="B162" s="115" t="s">
        <v>504</v>
      </c>
      <c r="C162" s="116">
        <f>(HearingAids[[#This Row],[haMSRP]]*2)+HearingAids[[#This Row],[chargerPrice]]</f>
        <v>9608</v>
      </c>
      <c r="D162" s="117">
        <v>4679</v>
      </c>
      <c r="E162" s="117" t="s">
        <v>538</v>
      </c>
      <c r="F162" s="117">
        <f>HearingAids[[#This Row],[haMSRP]]-((HearingAids[[#This Row],[ListPriceBinural]]-HearingAids[[#This Row],[chargerPrice]])/2)</f>
        <v>479</v>
      </c>
      <c r="G162" s="117">
        <f>HearingAids[[#This Row],[haMSRP]]-HearingAids[[#This Row],[Discount Amount 1]]</f>
        <v>4200</v>
      </c>
      <c r="H162" s="119">
        <v>8650</v>
      </c>
      <c r="I162" s="120" t="s">
        <v>628</v>
      </c>
      <c r="J162" s="121">
        <v>975</v>
      </c>
      <c r="K162" s="121">
        <f>HearingAids[[#This Row],[HAListPrice]]-HearingAids[[#This Row],[Discount Amount 2]]</f>
        <v>3225</v>
      </c>
      <c r="L162" s="121">
        <v>8150</v>
      </c>
      <c r="M162" s="126"/>
      <c r="N162" s="121"/>
      <c r="O162" s="120"/>
      <c r="P162" s="117">
        <v>6700</v>
      </c>
      <c r="Q162" s="122">
        <v>1</v>
      </c>
      <c r="R162" s="122" t="s">
        <v>13</v>
      </c>
      <c r="S162" s="122">
        <v>250</v>
      </c>
      <c r="T162" s="124" t="s">
        <v>14</v>
      </c>
      <c r="U162" s="124">
        <v>0</v>
      </c>
      <c r="V162" s="117" t="s">
        <v>11</v>
      </c>
      <c r="Y162" s="25"/>
      <c r="Z162" s="25"/>
      <c r="AA162" s="25"/>
      <c r="AB162"/>
      <c r="AC162"/>
      <c r="AD162"/>
      <c r="AE162"/>
    </row>
    <row r="163" spans="1:31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1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1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1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1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1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8"/>
    </row>
    <row r="169" spans="1:31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8"/>
    </row>
    <row r="170" spans="1:31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1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1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1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1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1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1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1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12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12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2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2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2.75">
      <c r="A190" s="3"/>
      <c r="B190" s="3"/>
      <c r="C190" s="3"/>
      <c r="I190" s="8"/>
      <c r="J190" s="8"/>
      <c r="K190" s="8"/>
      <c r="L190" s="2"/>
      <c r="M190" s="2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8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8"/>
    </row>
    <row r="192" spans="1:30" ht="12.75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8"/>
    </row>
    <row r="193" spans="1:30" ht="12.75">
      <c r="A193" s="3"/>
      <c r="B193" s="3"/>
      <c r="C193" s="3"/>
      <c r="I193" s="8"/>
      <c r="J193" s="8"/>
      <c r="K193" s="8"/>
      <c r="L193" s="2"/>
      <c r="M193" s="32"/>
      <c r="N193" s="2"/>
      <c r="O193" s="2"/>
      <c r="Q193" s="4"/>
      <c r="U193" s="2"/>
      <c r="X193" s="2"/>
      <c r="Y193" s="2"/>
      <c r="Z193" s="2"/>
      <c r="AA193" s="2"/>
      <c r="AB193" s="2"/>
      <c r="AC193" s="2"/>
      <c r="AD193" s="12"/>
    </row>
    <row r="194" spans="1:30" ht="12.75">
      <c r="A194" s="3"/>
      <c r="B194" s="3"/>
      <c r="C194" s="3"/>
      <c r="I194" s="8"/>
      <c r="J194" s="8"/>
      <c r="K194" s="8"/>
      <c r="L194" s="2"/>
      <c r="M194" s="32"/>
      <c r="N194" s="2"/>
      <c r="O194" s="2"/>
      <c r="Q194" s="4"/>
      <c r="U194" s="2"/>
      <c r="X194" s="2"/>
      <c r="Y194" s="2"/>
      <c r="Z194" s="2"/>
      <c r="AA194" s="2"/>
      <c r="AB194" s="2"/>
      <c r="AC194" s="2"/>
      <c r="AD194" s="12"/>
    </row>
    <row r="195" spans="1:30" ht="12.75">
      <c r="A195" s="3"/>
      <c r="B195" s="3"/>
      <c r="C195" s="3"/>
      <c r="I195" s="8"/>
      <c r="J195" s="8"/>
      <c r="K195" s="8"/>
      <c r="L195" s="2"/>
      <c r="M195" s="32"/>
      <c r="N195" s="2"/>
      <c r="O195" s="2"/>
      <c r="Q195" s="4"/>
      <c r="U195" s="2"/>
      <c r="X195" s="2"/>
      <c r="Y195" s="2"/>
      <c r="Z195" s="2"/>
      <c r="AA195" s="2"/>
      <c r="AB195" s="2"/>
      <c r="AC195" s="2"/>
      <c r="AD195" s="12"/>
    </row>
    <row r="196" spans="1:30" ht="12.75">
      <c r="A196" s="3"/>
      <c r="B196" s="3"/>
      <c r="C196" s="3"/>
      <c r="I196" s="22"/>
      <c r="J196" s="22"/>
      <c r="K196" s="22"/>
      <c r="L196" s="22"/>
      <c r="M196" s="32"/>
      <c r="N196" s="22"/>
      <c r="O196" s="22"/>
      <c r="Q196" s="4"/>
      <c r="U196" s="22"/>
      <c r="X196" s="22"/>
      <c r="Y196" s="22"/>
      <c r="Z196" s="22"/>
      <c r="AA196" s="22"/>
      <c r="AB196" s="22"/>
      <c r="AD196" s="25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M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M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M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2.75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  <row r="236" spans="1:30" ht="12.75">
      <c r="A236" s="30"/>
      <c r="B236" s="30"/>
      <c r="C236" s="30"/>
      <c r="I236" s="32"/>
      <c r="J236" s="32"/>
      <c r="K236" s="32"/>
      <c r="L236" s="32"/>
      <c r="N236" s="32"/>
      <c r="O236" s="32"/>
      <c r="Q236" s="31"/>
      <c r="U236" s="32"/>
      <c r="X236" s="8"/>
      <c r="Y236" s="32"/>
      <c r="Z236" s="32"/>
      <c r="AA236" s="32"/>
      <c r="AB236" s="32"/>
      <c r="AC236" s="32"/>
      <c r="AD236" s="32"/>
    </row>
    <row r="237" spans="1:30" ht="12.75">
      <c r="A237" s="30"/>
      <c r="B237" s="30"/>
      <c r="C237" s="30"/>
      <c r="I237" s="32"/>
      <c r="J237" s="32"/>
      <c r="K237" s="32"/>
      <c r="L237" s="32"/>
      <c r="N237" s="32"/>
      <c r="O237" s="32"/>
      <c r="Q237" s="31"/>
      <c r="U237" s="32"/>
      <c r="X237" s="8"/>
      <c r="Y237" s="32"/>
      <c r="Z237" s="32"/>
      <c r="AA237" s="32"/>
      <c r="AB237" s="32"/>
      <c r="AC237" s="32"/>
      <c r="AD237" s="32"/>
    </row>
    <row r="238" spans="1:30" ht="12.75">
      <c r="A238" s="30"/>
      <c r="B238" s="30"/>
      <c r="C238" s="30"/>
      <c r="I238" s="32"/>
      <c r="J238" s="32"/>
      <c r="K238" s="32"/>
      <c r="L238" s="32"/>
      <c r="N238" s="32"/>
      <c r="O238" s="32"/>
      <c r="Q238" s="31"/>
      <c r="U238" s="32"/>
      <c r="X238" s="8"/>
      <c r="Y238" s="32"/>
      <c r="Z238" s="32"/>
      <c r="AA238" s="32"/>
      <c r="AB238" s="32"/>
      <c r="AC238" s="32"/>
      <c r="AD238" s="32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Thanksgiving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2025-11-24T17:53:47Z</dcterms:modified>
  <cp:category/>
  <cp:contentStatus/>
</cp:coreProperties>
</file>